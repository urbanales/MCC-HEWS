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D:\Dropbox\MCC\MCC-HEWS\code-github\hpp_metadata\"/>
    </mc:Choice>
  </mc:AlternateContent>
  <xr:revisionPtr revIDLastSave="0" documentId="13_ncr:1_{2E23D087-3E8E-4B46-9CBA-807D4230E7E0}" xr6:coauthVersionLast="47" xr6:coauthVersionMax="47" xr10:uidLastSave="{00000000-0000-0000-0000-000000000000}"/>
  <bookViews>
    <workbookView xWindow="-28920" yWindow="-120" windowWidth="29040" windowHeight="15720" activeTab="1" xr2:uid="{4F3FE8B4-CB68-41A1-93F1-AFB5498B0887}"/>
  </bookViews>
  <sheets>
    <sheet name="HEWSs" sheetId="1" r:id="rId1"/>
    <sheet name="HHAP" sheetId="2" r:id="rId2"/>
    <sheet name="HPP components" sheetId="6" r:id="rId3"/>
    <sheet name="Component weights" sheetId="11" r:id="rId4"/>
    <sheet name="HPP components with weights" sheetId="7" r:id="rId5"/>
    <sheet name="Final HPP classification" sheetId="10" r:id="rId6"/>
    <sheet name="HPP score" sheetId="9" r:id="rId7"/>
  </sheets>
  <definedNames>
    <definedName name="_xlnm._FilterDatabase" localSheetId="5" hidden="1">'Final HPP classification'!$T$1:$AA$18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2" i="11" l="1"/>
  <c r="C65" i="11"/>
  <c r="C57" i="11"/>
  <c r="B57" i="11"/>
  <c r="C47" i="11"/>
  <c r="B47" i="11"/>
  <c r="C39" i="11"/>
  <c r="B39" i="11"/>
  <c r="C30" i="11"/>
  <c r="B30" i="11"/>
  <c r="C22" i="11"/>
  <c r="B22" i="11"/>
  <c r="C11" i="11"/>
  <c r="B11" i="11"/>
  <c r="C4" i="11"/>
  <c r="AC15" i="10"/>
  <c r="AB15" i="10"/>
  <c r="AC14" i="10"/>
  <c r="AB14" i="10"/>
  <c r="AC13" i="10"/>
  <c r="AB13" i="10"/>
  <c r="AC12" i="10"/>
  <c r="AB12" i="10"/>
  <c r="AC11" i="10"/>
  <c r="AB11" i="10"/>
  <c r="AC10" i="10"/>
  <c r="AB10" i="10"/>
  <c r="AC9" i="10"/>
  <c r="AB9" i="10"/>
  <c r="AC8" i="10"/>
  <c r="AB8" i="10"/>
  <c r="AC7" i="10"/>
  <c r="AB7" i="10"/>
  <c r="AC6" i="10"/>
  <c r="AB6" i="10"/>
  <c r="AC5" i="10"/>
  <c r="AB5" i="10"/>
  <c r="AC4" i="10"/>
  <c r="AB4" i="10"/>
  <c r="AC3" i="10"/>
  <c r="AB3" i="10"/>
  <c r="AC2" i="10"/>
  <c r="AB2" i="10"/>
  <c r="U50" i="7"/>
  <c r="S50" i="7"/>
  <c r="Q7" i="10" s="1"/>
  <c r="R50" i="7"/>
  <c r="Q50" i="7"/>
  <c r="P50" i="7"/>
  <c r="N7" i="10" s="1"/>
  <c r="O50" i="7"/>
  <c r="N50" i="7"/>
  <c r="M50" i="7"/>
  <c r="L50" i="7"/>
  <c r="K50" i="7"/>
  <c r="I7" i="10" s="1"/>
  <c r="J50" i="7"/>
  <c r="I50" i="7"/>
  <c r="H50" i="7"/>
  <c r="G50" i="7"/>
  <c r="F50" i="7"/>
  <c r="F7" i="10" s="1"/>
  <c r="E50" i="7"/>
  <c r="D50" i="7"/>
  <c r="C50" i="7"/>
  <c r="C7" i="10" s="1"/>
  <c r="B50" i="7"/>
  <c r="B7" i="10" s="1"/>
  <c r="U40" i="7"/>
  <c r="S40" i="7"/>
  <c r="R40" i="7"/>
  <c r="Q40" i="7"/>
  <c r="P40" i="7"/>
  <c r="O40" i="7"/>
  <c r="N40" i="7"/>
  <c r="M40" i="7"/>
  <c r="K6" i="10" s="1"/>
  <c r="L40" i="7"/>
  <c r="J6" i="10" s="1"/>
  <c r="K40" i="7"/>
  <c r="J40" i="7"/>
  <c r="I40" i="7"/>
  <c r="H40" i="7"/>
  <c r="G40" i="7"/>
  <c r="F40" i="7"/>
  <c r="E40" i="7"/>
  <c r="E6" i="10" s="1"/>
  <c r="D40" i="7"/>
  <c r="D6" i="10" s="1"/>
  <c r="C40" i="7"/>
  <c r="C6" i="10" s="1"/>
  <c r="B40" i="7"/>
  <c r="B6" i="10" s="1"/>
  <c r="U31" i="7"/>
  <c r="S31" i="7"/>
  <c r="R31" i="7"/>
  <c r="Q31" i="7"/>
  <c r="P31" i="7"/>
  <c r="O31" i="7"/>
  <c r="M5" i="10" s="1"/>
  <c r="N31" i="7"/>
  <c r="L5" i="10" s="1"/>
  <c r="M31" i="7"/>
  <c r="L31" i="7"/>
  <c r="K31" i="7"/>
  <c r="J31" i="7"/>
  <c r="I31" i="7"/>
  <c r="H31" i="7"/>
  <c r="G31" i="7"/>
  <c r="F31" i="7"/>
  <c r="F5" i="10" s="1"/>
  <c r="E31" i="7"/>
  <c r="E5" i="10" s="1"/>
  <c r="D31" i="7"/>
  <c r="C31" i="7"/>
  <c r="C5" i="10" s="1"/>
  <c r="B31" i="7"/>
  <c r="U25" i="7"/>
  <c r="S25" i="7"/>
  <c r="R25" i="7"/>
  <c r="Q25" i="7"/>
  <c r="O4" i="10" s="1"/>
  <c r="P25" i="7"/>
  <c r="N4" i="10" s="1"/>
  <c r="O25" i="7"/>
  <c r="M4" i="10" s="1"/>
  <c r="N25" i="7"/>
  <c r="M25" i="7"/>
  <c r="L25" i="7"/>
  <c r="K25" i="7"/>
  <c r="J25" i="7"/>
  <c r="I25" i="7"/>
  <c r="H25" i="7"/>
  <c r="G25" i="7"/>
  <c r="G4" i="10" s="1"/>
  <c r="F25" i="7"/>
  <c r="E25" i="7"/>
  <c r="E4" i="10" s="1"/>
  <c r="D25" i="7"/>
  <c r="D4" i="10" s="1"/>
  <c r="C25" i="7"/>
  <c r="B25" i="7"/>
  <c r="U16" i="7"/>
  <c r="S16" i="7"/>
  <c r="Q3" i="10" s="1"/>
  <c r="R16" i="7"/>
  <c r="Q16" i="7"/>
  <c r="P16" i="7"/>
  <c r="N3" i="10" s="1"/>
  <c r="O16" i="7"/>
  <c r="N16" i="7"/>
  <c r="M16" i="7"/>
  <c r="L16" i="7"/>
  <c r="K16" i="7"/>
  <c r="I3" i="10" s="1"/>
  <c r="J16" i="7"/>
  <c r="I16" i="7"/>
  <c r="H16" i="7"/>
  <c r="G16" i="7"/>
  <c r="F16" i="7"/>
  <c r="F3" i="10" s="1"/>
  <c r="E16" i="7"/>
  <c r="D16" i="7"/>
  <c r="C16" i="7"/>
  <c r="C3" i="10" s="1"/>
  <c r="B16" i="7"/>
  <c r="B65" i="7" s="1"/>
  <c r="U5" i="7"/>
  <c r="S5" i="7"/>
  <c r="R5" i="7"/>
  <c r="Q5" i="7"/>
  <c r="P5" i="7"/>
  <c r="O5" i="7"/>
  <c r="N5" i="7"/>
  <c r="M5" i="7"/>
  <c r="K2" i="10" s="1"/>
  <c r="L5" i="7"/>
  <c r="J2" i="10" s="1"/>
  <c r="K5" i="7"/>
  <c r="J5" i="7"/>
  <c r="I5" i="7"/>
  <c r="H5" i="7"/>
  <c r="H65" i="7" s="1"/>
  <c r="G5" i="7"/>
  <c r="F5" i="7"/>
  <c r="E5" i="7"/>
  <c r="E2" i="10" s="1"/>
  <c r="D5" i="7"/>
  <c r="D2" i="10" s="1"/>
  <c r="C5" i="7"/>
  <c r="C2" i="10" s="1"/>
  <c r="B5" i="7"/>
  <c r="B2" i="10" s="1"/>
  <c r="Q57" i="6"/>
  <c r="P57" i="6"/>
  <c r="O57" i="6"/>
  <c r="N57" i="6"/>
  <c r="M57" i="6"/>
  <c r="L57" i="6"/>
  <c r="K57" i="6"/>
  <c r="J57" i="6"/>
  <c r="I57" i="6"/>
  <c r="H57" i="6"/>
  <c r="G57" i="6"/>
  <c r="F57" i="6"/>
  <c r="E57" i="6"/>
  <c r="D57" i="6"/>
  <c r="C57" i="6"/>
  <c r="B57" i="6"/>
  <c r="Q47" i="6"/>
  <c r="P47" i="6"/>
  <c r="O47" i="6"/>
  <c r="N47" i="6"/>
  <c r="M47" i="6"/>
  <c r="L47" i="6"/>
  <c r="K47" i="6"/>
  <c r="J47" i="6"/>
  <c r="I47" i="6"/>
  <c r="H47" i="6"/>
  <c r="G47" i="6"/>
  <c r="F47" i="6"/>
  <c r="E47" i="6"/>
  <c r="D47" i="6"/>
  <c r="C47" i="6"/>
  <c r="B47" i="6"/>
  <c r="Q38" i="6"/>
  <c r="P38" i="6"/>
  <c r="O38" i="6"/>
  <c r="N38" i="6"/>
  <c r="M38" i="6"/>
  <c r="L38" i="6"/>
  <c r="K38" i="6"/>
  <c r="J38" i="6"/>
  <c r="I38" i="6"/>
  <c r="H38" i="6"/>
  <c r="G38" i="6"/>
  <c r="F38" i="6"/>
  <c r="E38" i="6"/>
  <c r="D38" i="6"/>
  <c r="C38" i="6"/>
  <c r="B38" i="6"/>
  <c r="Q29" i="6"/>
  <c r="P29" i="6"/>
  <c r="O29" i="6"/>
  <c r="N29" i="6"/>
  <c r="M29" i="6"/>
  <c r="L29" i="6"/>
  <c r="K29" i="6"/>
  <c r="J29" i="6"/>
  <c r="I29" i="6"/>
  <c r="H29" i="6"/>
  <c r="G29" i="6"/>
  <c r="F29" i="6"/>
  <c r="E29" i="6"/>
  <c r="D29" i="6"/>
  <c r="C29" i="6"/>
  <c r="B29" i="6"/>
  <c r="Q20" i="6"/>
  <c r="P20" i="6"/>
  <c r="O20" i="6"/>
  <c r="N20" i="6"/>
  <c r="M20" i="6"/>
  <c r="L20" i="6"/>
  <c r="K20" i="6"/>
  <c r="J20" i="6"/>
  <c r="I20" i="6"/>
  <c r="H20" i="6"/>
  <c r="G20" i="6"/>
  <c r="F20" i="6"/>
  <c r="E20" i="6"/>
  <c r="D20" i="6"/>
  <c r="C20" i="6"/>
  <c r="B20" i="6"/>
  <c r="Q8" i="6"/>
  <c r="P8" i="6"/>
  <c r="O8" i="6"/>
  <c r="N8" i="6"/>
  <c r="M8" i="6"/>
  <c r="L8" i="6"/>
  <c r="K8" i="6"/>
  <c r="J8" i="6"/>
  <c r="I8" i="6"/>
  <c r="H8" i="6"/>
  <c r="G8" i="6"/>
  <c r="F8" i="6"/>
  <c r="E8" i="6"/>
  <c r="D8" i="6"/>
  <c r="C8" i="6"/>
  <c r="B8" i="6"/>
  <c r="I65" i="7" l="1"/>
  <c r="H72" i="6"/>
  <c r="B72" i="6"/>
  <c r="I72" i="6"/>
  <c r="P72" i="6"/>
  <c r="N72" i="6"/>
  <c r="C72" i="6"/>
  <c r="L72" i="6"/>
  <c r="D72" i="6"/>
  <c r="G72" i="6"/>
  <c r="J72" i="6"/>
  <c r="Q72" i="6"/>
  <c r="F72" i="6"/>
  <c r="M72" i="6"/>
  <c r="O72" i="6"/>
  <c r="E72" i="6"/>
  <c r="K72" i="6"/>
  <c r="O65" i="7"/>
  <c r="M3" i="10"/>
  <c r="O3" i="10"/>
  <c r="Q65" i="7"/>
  <c r="D5" i="10"/>
  <c r="G5" i="10"/>
  <c r="J5" i="10"/>
  <c r="Q5" i="10"/>
  <c r="M7" i="10"/>
  <c r="F4" i="10"/>
  <c r="F65" i="7"/>
  <c r="N65" i="7"/>
  <c r="C65" i="7"/>
  <c r="K65" i="7"/>
  <c r="P65" i="7"/>
  <c r="F2" i="10"/>
  <c r="L2" i="10"/>
  <c r="D3" i="10"/>
  <c r="J3" i="10"/>
  <c r="B4" i="10"/>
  <c r="H4" i="10"/>
  <c r="P4" i="10"/>
  <c r="N5" i="10"/>
  <c r="F6" i="10"/>
  <c r="L6" i="10"/>
  <c r="D7" i="10"/>
  <c r="J7" i="10"/>
  <c r="D65" i="7"/>
  <c r="G65" i="7"/>
  <c r="L65" i="7"/>
  <c r="S65" i="7"/>
  <c r="M2" i="10"/>
  <c r="E3" i="10"/>
  <c r="E10" i="10" s="1"/>
  <c r="E12" i="10" s="1"/>
  <c r="K3" i="10"/>
  <c r="C4" i="10"/>
  <c r="C10" i="10" s="1"/>
  <c r="C12" i="10" s="1"/>
  <c r="I4" i="10"/>
  <c r="Q4" i="10"/>
  <c r="O5" i="10"/>
  <c r="M6" i="10"/>
  <c r="E7" i="10"/>
  <c r="K7" i="10"/>
  <c r="E65" i="7"/>
  <c r="M65" i="7"/>
  <c r="N2" i="10"/>
  <c r="L3" i="10"/>
  <c r="J4" i="10"/>
  <c r="B5" i="10"/>
  <c r="H5" i="10"/>
  <c r="P5" i="10"/>
  <c r="N6" i="10"/>
  <c r="L7" i="10"/>
  <c r="G2" i="10"/>
  <c r="O2" i="10"/>
  <c r="K4" i="10"/>
  <c r="K10" i="10" s="1"/>
  <c r="K12" i="10" s="1"/>
  <c r="I5" i="10"/>
  <c r="G6" i="10"/>
  <c r="O6" i="10"/>
  <c r="H2" i="10"/>
  <c r="P2" i="10"/>
  <c r="L4" i="10"/>
  <c r="H6" i="10"/>
  <c r="P6" i="10"/>
  <c r="I2" i="10"/>
  <c r="Q2" i="10"/>
  <c r="G3" i="10"/>
  <c r="K5" i="10"/>
  <c r="I6" i="10"/>
  <c r="Q6" i="10"/>
  <c r="G7" i="10"/>
  <c r="O7" i="10"/>
  <c r="B3" i="10"/>
  <c r="B10" i="10" s="1"/>
  <c r="B12" i="10" s="1"/>
  <c r="H3" i="10"/>
  <c r="P3" i="10"/>
  <c r="H7" i="10"/>
  <c r="P7" i="10"/>
  <c r="J65" i="7"/>
  <c r="R65" i="7"/>
  <c r="Q10" i="10" l="1"/>
  <c r="Q12" i="10" s="1"/>
  <c r="I10" i="10"/>
  <c r="I12" i="10" s="1"/>
  <c r="D10" i="10"/>
  <c r="D12" i="10" s="1"/>
  <c r="J10" i="10"/>
  <c r="J12" i="10" s="1"/>
  <c r="P10" i="10"/>
  <c r="P12" i="10" s="1"/>
  <c r="O10" i="10"/>
  <c r="O12" i="10" s="1"/>
  <c r="G10" i="10"/>
  <c r="G12" i="10" s="1"/>
  <c r="N10" i="10"/>
  <c r="N12" i="10" s="1"/>
  <c r="L10" i="10"/>
  <c r="L12" i="10" s="1"/>
  <c r="H10" i="10"/>
  <c r="H12" i="10" s="1"/>
  <c r="M10" i="10"/>
  <c r="M12" i="10" s="1"/>
  <c r="F10" i="10"/>
  <c r="F12" i="10" s="1"/>
</calcChain>
</file>

<file path=xl/sharedStrings.xml><?xml version="1.0" encoding="utf-8"?>
<sst xmlns="http://schemas.openxmlformats.org/spreadsheetml/2006/main" count="1251" uniqueCount="785">
  <si>
    <r>
      <t xml:space="preserve">This table summarizes information about </t>
    </r>
    <r>
      <rPr>
        <b/>
        <sz val="12"/>
        <color rgb="FF000000"/>
        <rFont val="Verdana"/>
        <family val="2"/>
        <charset val="238"/>
      </rPr>
      <t>Heat Early Warning Systems (HEWS)</t>
    </r>
    <r>
      <rPr>
        <sz val="12"/>
        <color rgb="FF000000"/>
        <rFont val="Verdana"/>
        <family val="2"/>
        <charset val="238"/>
      </rPr>
      <t xml:space="preserve"> in Europe and associated countries of PROCLIAS. 
Currently, it is based on </t>
    </r>
    <r>
      <rPr>
        <u/>
        <sz val="12"/>
        <color rgb="FF1155CC"/>
        <rFont val="Verdana"/>
        <family val="2"/>
        <charset val="238"/>
      </rPr>
      <t>Casanueva et al. (2019)</t>
    </r>
    <r>
      <rPr>
        <sz val="12"/>
        <color rgb="FF000000"/>
        <rFont val="Verdana"/>
        <family val="2"/>
        <charset val="238"/>
      </rPr>
      <t xml:space="preserve"> (their Table 1, 2 and 4)</t>
    </r>
  </si>
  <si>
    <t>Please fill in missing information and update it if possible</t>
  </si>
  <si>
    <t>INFORMATION ON CURRENT HEWS</t>
  </si>
  <si>
    <t>FIRST HEWS</t>
  </si>
  <si>
    <t>MAJOR UPDATES</t>
  </si>
  <si>
    <t>GENERAL COMMENTS</t>
  </si>
  <si>
    <t>COUNTRY/CITY</t>
  </si>
  <si>
    <t>PROVIDER / INSTITUTION</t>
  </si>
  <si>
    <t>IMPLEMENTATION YEAR OF CURRENT WARNING SYSTEM</t>
  </si>
  <si>
    <t>MODEL SYSTEM</t>
  </si>
  <si>
    <t>LEAD TIME</t>
  </si>
  <si>
    <t>SPATIAL RESOLUTION</t>
  </si>
  <si>
    <t>HEAT INDEX</t>
  </si>
  <si>
    <t>WARNING THRESHOLDS/ALERT LEVELS</t>
  </si>
  <si>
    <t>NATURE OF THE WARNING THRESHOLDS</t>
  </si>
  <si>
    <t>TARGET GROUPS</t>
  </si>
  <si>
    <t>COMMUNICATION TOOLS</t>
  </si>
  <si>
    <t>IMPLEMENTATION YEAR OF FIRST WARNING SYSTEM</t>
  </si>
  <si>
    <t>YEARS OF UPDATES</t>
  </si>
  <si>
    <t>SHORT DESCRIPTION OF UPDATES</t>
  </si>
  <si>
    <t>last year of update/implementation</t>
  </si>
  <si>
    <t>ALBANIA</t>
  </si>
  <si>
    <t>AUSTRIA</t>
  </si>
  <si>
    <t>Zentralanstalt für Meteorologie und
Geodynamik (ZAMG)</t>
  </si>
  <si>
    <t>INCA (1 km), ALARO (5 km), ECMWF ENS
(15 km)</t>
  </si>
  <si>
    <t>6 h (INCA), 72 h (ALARO)</t>
  </si>
  <si>
    <t>Regional</t>
  </si>
  <si>
    <t>Perceived Temperature
(PT) and Tmin</t>
  </si>
  <si>
    <t>PT &gt; 35
for at least 3 days without night cooling below 20
Thresholds are subject to modifications depending on weather in preceding days.</t>
  </si>
  <si>
    <t>Threshold from epidemiological studies
(based on thermophysiological strain) in
Germany by DWD adapted to Austria.</t>
  </si>
  <si>
    <t>Nursing facilities, hospitals and health resorts, childcare
facilities (kindergartens, schools, etc.), mobile nursing
services, medical chambers and emergency organizations</t>
  </si>
  <si>
    <t>Website</t>
  </si>
  <si>
    <t>BELGIUM</t>
  </si>
  <si>
    <t>Royal Meteorological Institute of Belgium
(RMI)</t>
  </si>
  <si>
    <t>ALADIN (deterministic) + RMI EPS
(probabilistic, based on AROME and ALARO,
2.5 km)</t>
  </si>
  <si>
    <t>12–48 h, depending on the warning
level</t>
  </si>
  <si>
    <t>Provinces</t>
  </si>
  <si>
    <t>Tmax, Tmin, Tcumul</t>
  </si>
  <si>
    <t>Green: No warning, all indices below thresholds.
Yellow: Tcumul ≥ 17 ◦ C
Orange: 2 day mean with Tmax ≥ 32 ◦ C and Tmin ≥ 20 ◦ C or 3 day mean Tmax ≥ 30 ◦ C and Tmin ≥
18 ◦ C
Red: 3 day mean Tmax ≥ 32 ◦ C and Tmin ≥ 20 ◦ C</t>
  </si>
  <si>
    <t>Belgium Interregional Environment Agency (IR-CEL),
authorities</t>
  </si>
  <si>
    <t>Bulletin journalier, dépliants, mails, site Internet.</t>
  </si>
  <si>
    <t>color codes also linked to warnings for extreme precipitation, storm and other meteorological extremes</t>
  </si>
  <si>
    <t>CROATIA</t>
  </si>
  <si>
    <t>hrvatski zavod za javno zdravstvo</t>
  </si>
  <si>
    <t>ALADIN, ECMWF, DWD</t>
  </si>
  <si>
    <t>8 regions</t>
  </si>
  <si>
    <t>Tmax, Tmin (PET)</t>
  </si>
  <si>
    <t>3 levels, T &gt; 96.5 percentile, T &gt; 98.5 percentile, T &gt; 99.5 percentile (13&lt;PET&lt;18 : slight cold stress 18&lt;PET&lt;23 : no thermal stress 23&lt;PET&lt;29 : slight thermal stress ; 29&lt;PET&lt;35 : moderate heat stress ; PET&gt;35 : strong heat sress)</t>
  </si>
  <si>
    <t>Based on epidemiological data…Zaninovic and Matzarakis 2011 and 2014</t>
  </si>
  <si>
    <t>County PHIs Hospitals Croatian Institute of Emergency Medicine - NN071 / 2012 Reference center of the Ministry of Health for the protection of the health of the elderly Ministry of Demography, Family, Youth and Social Policy Croatian Institute for Occupational Health and Safety Croatian Institute for Health Insurance Ministry of Science and Education Croatian Red Cross DUZS - State Administration for Protection and Rescue Tourist board HINA</t>
  </si>
  <si>
    <t>emails, website, TV</t>
  </si>
  <si>
    <t>CZECH REPUBLIC</t>
  </si>
  <si>
    <t>Czech Hydrometeorological Institute</t>
  </si>
  <si>
    <t>ALADIN (2.3 km) based on the global model ARPAGE, cross validated with ICON, GFS, ECMWF, GEM</t>
  </si>
  <si>
    <t>warnings for 48h; 3-5 days for preliminary warnings</t>
  </si>
  <si>
    <t>152 major municipalities</t>
  </si>
  <si>
    <t>Tmax</t>
  </si>
  <si>
    <t>three alert levels (yellow, orange, red) based on the intensity and probability of the event: Tmax &gt; 31, 34, 37 °C;</t>
  </si>
  <si>
    <t>climatology based thresholds</t>
  </si>
  <si>
    <t>the national fire department, regional and local authorities, general public</t>
  </si>
  <si>
    <t>public media, social media, website, phone application</t>
  </si>
  <si>
    <t>2006; 2012; 2019;</t>
  </si>
  <si>
    <t>2000 (two levels: Tmax &gt; 32 °C and 37 °C); 2006 (three level system:Tmax &gt; 30 °C, 34 °C, 37 °C in at least 30% of the region area; warnings for districts (76)); 2012 (three level system: Tmax &gt; 31 °C, 34 °C, 37 °C in at least 50% of the region area); 2019 (three level system: Tmax &gt; 31 °C, 34 °C, 37 °C, warnings for major municipalities (152) instead of districts (76));</t>
  </si>
  <si>
    <t>similar three level system for other severe weather events</t>
  </si>
  <si>
    <t>DENMARK</t>
  </si>
  <si>
    <t>Beredskabsstyrelsen (Emergency Agency) www.brs.dk ,on the basis of weather data from Danish Meteorological Institute</t>
  </si>
  <si>
    <t>DMI weather models(many), including for Greenland and Færø Islands and Bornholm</t>
  </si>
  <si>
    <t>12-72 h</t>
  </si>
  <si>
    <t>Kommunalt beredskab (district level); special services for shipping and sea transports (ice situations)</t>
  </si>
  <si>
    <t>Tmax, Tmin</t>
  </si>
  <si>
    <t>Tmax &gt; 30-C ; Tmin &lt; (-10 -C)</t>
  </si>
  <si>
    <t>Two groups: general population, and selected organizations (dependent on their activities)</t>
  </si>
  <si>
    <t>Institutional command lines from Beredskabsstyrelsen to local districts , civil defense and hospitals; media reports for general public</t>
  </si>
  <si>
    <t>For cold situations and Greenland, early 1950's; for heat situations from 2003 ; labour law aspects implemented in law and policy since 09/6/2016 political agreement</t>
  </si>
  <si>
    <t>On the issue of labour regulations under temperature stess conditions affecting health of workers , the union 3F (www.3f.dk) is very active, and the Court for Labour conditions has a guidebook https://www.basse.dk/erhvervsmiljøretten.html</t>
  </si>
  <si>
    <t>ESTONIA</t>
  </si>
  <si>
    <t>Estonian Weather Service http://www.ilmateenistus.ee/ilm/prognoosid/hoiatused/?lang=en</t>
  </si>
  <si>
    <t>ECMWF, MetCOOP, Hirlam</t>
  </si>
  <si>
    <t>1-2 days</t>
  </si>
  <si>
    <t>county level</t>
  </si>
  <si>
    <t>Tmax, Tmin, Tavg</t>
  </si>
  <si>
    <t>1. Yellow - Tmax ≥ 27-C more than 3 days ; Tmin &lt; (-26 -C) more than 3 days; daily average ≥ 20-C more than 3 days 2. Orange - - Tmax ≥ 30-C more than 3 days ; Tmin &lt; (-30 -C) more than 3 days; daily average ≥ 25-C more than 3 days</t>
  </si>
  <si>
    <t>warning thresholds are based on the human limits of suffering</t>
  </si>
  <si>
    <t>Warnings are issued as public warnings, but are target especialy for vulnerable risk groups</t>
  </si>
  <si>
    <t>Website, app, facebook, instagram, e-mails to the interest groups, internetportals, in the radio and TV news, newsapers</t>
  </si>
  <si>
    <t>2001; 2011, 2017</t>
  </si>
  <si>
    <t>change of input and delivery systems</t>
  </si>
  <si>
    <t>FINLAND</t>
  </si>
  <si>
    <t>Finnish Meteorological Institute (FMI)</t>
  </si>
  <si>
    <t xml:space="preserve">AROME, ECMWF, final decision about issuing the warnings by the forecaster in duty
</t>
  </si>
  <si>
    <t>5 days</t>
  </si>
  <si>
    <t>county level (Regional Councils in Finland) or larger area</t>
  </si>
  <si>
    <t>Combinations of daily Tmax and Tmean</t>
  </si>
  <si>
    <t>1. (yellow): hot - Tmax&gt;27 and Tmean&gt;20; 2. (orange) - very hot - Tmax&gt;30 and Tmean&gt;24; 3. (red) - extremly hot - Tmax&gt;35 and Tmean&gt;28 degrees C ( https://en.ilmatieteenlaitos.fi/warnings-on-hot-and-cold-weather)</t>
  </si>
  <si>
    <t>epidemiological research, climatic conditions, acceptability of the warnings, operational service process</t>
  </si>
  <si>
    <t>FMI website. YLE, National Broadcating Company. FMI weather warnings are freely available for all interested users - available also in FMI open data</t>
  </si>
  <si>
    <t>3 day warning criteria was removed, Tmin was replaced by Tmean in warning criteria</t>
  </si>
  <si>
    <t>The HEWS is part of FMI operational 3-level weather warning system https://en.ilmatieteenlaitos.fi/information-on-warnings</t>
  </si>
  <si>
    <t>FRANCE</t>
  </si>
  <si>
    <t>MeteoFrance and Santé Publique France</t>
  </si>
  <si>
    <t>AROME (1.3 km) + ARPEGE (16 km),
deterministic</t>
  </si>
  <si>
    <t>36 h (AROME), 4 days (ARPEGE)</t>
  </si>
  <si>
    <t>Departmental</t>
  </si>
  <si>
    <t>Combination of Tmin
and Tmax averaged over
three days (BMI)</t>
  </si>
  <si>
    <t>3 days mean of Tmax &gt; regionally dependent thresholds 
and
3 days mean of Tmin &gt; regionally dependent thresholds three colours level, not strict the warning is set depending on the probability of exceeding the thresholds</t>
  </si>
  <si>
    <t>epidemiological research Biometeorological</t>
  </si>
  <si>
    <t>local authorities and the general population</t>
  </si>
  <si>
    <t>Communicated to the media and the general
population by MétéoFrance through a
vigilance map</t>
  </si>
  <si>
    <t>the main update was in 2019 the changes of criteria for the red level</t>
  </si>
  <si>
    <t>GERMANY</t>
  </si>
  <si>
    <t>German Weather Service (DWD)</t>
  </si>
  <si>
    <t>MOSMIX (optimizes and interprets the
forecasts of ICON-DWD and IFS-ECMWF)</t>
  </si>
  <si>
    <t>2 days (8 days for pre-information)</t>
  </si>
  <si>
    <t>County level</t>
  </si>
  <si>
    <t>PT and Tmin</t>
  </si>
  <si>
    <t>Thresholds are region-specific and consider acclimatization (previous 30 days). Benchmark:
Level 1: 20 ◦ C &lt; PT &lt; 26 ◦ C
Level 2: 26 ◦ C &lt; PT &lt; 32 ◦ C
Level 3—Strong heat stress: 32 ◦ C &lt; PT &lt; 38 ◦ C &amp; Tmin ≥ 17 ◦ C
Level 4—Extreme heat stress: PT ≥ 38 ◦ C &amp; Tmin ≥ 17 ◦ C
Only Levels 3 and 4 are relevant for heat warnings.</t>
  </si>
  <si>
    <t>Epidemiological research, based on
thermophysiological strain</t>
  </si>
  <si>
    <t>General public, health system, elderly, people living socially
isolated, people needing care, obese persons, chronically ill,
working people outdoors, homeless, babies and infants.</t>
  </si>
  <si>
    <t>Email-Newsletter, website, Apps, radio,
internet, newspaper, television</t>
  </si>
  <si>
    <t>2005 ?</t>
  </si>
  <si>
    <t>GREECE</t>
  </si>
  <si>
    <t>Hellenic National Meteorological Service
(HNMS)</t>
  </si>
  <si>
    <t>ECMWF deterministic and ENS model</t>
  </si>
  <si>
    <t>3 days</t>
  </si>
  <si>
    <t>Regional (16 regions)</t>
  </si>
  <si>
    <t>Tmax and heat index</t>
  </si>
  <si>
    <t>a. For Tmax over the northern Greek regions:
35 ◦ C ≤ Tmax &lt; 39 ◦ C (yellow), 39 ◦ C ≤ Tmax &lt; 42 ◦ C (amber), Tmax ≥ 42 ◦ C (red)
b. For Tmax over the Central and Southern parts of Greece:
37 ◦ C ≤ Tmax &lt; 41 ◦ C (yellow), 41 ◦ C ≤ Tmax &lt; 44 ◦ C (amber), Tmax ≥ 44 ◦ C (red)
c. For Tmax over the islands:
33 ◦ C ≤ Tmax &lt; 37 ◦ C (yellow), 37 ◦ C ≤ Tmax ≤ 40 ◦ C (amber), Tmax ≥ 40 ◦ C (red)
Heat index used as a supplementary tool in order to enhance the conclusions from the consideration
of each synoptic situation. No thresholds related.</t>
  </si>
  <si>
    <t>Climatological percentiles and the
respective literature</t>
  </si>
  <si>
    <t>General Public. Other target groups are managed by the
Ministry of Health</t>
  </si>
  <si>
    <t>Website, twitter</t>
  </si>
  <si>
    <t>HUNGARY</t>
  </si>
  <si>
    <t>Hungarian Meteorological Service (HMS) and
National Public Health and Medical Officer
Service (ANTSZ)</t>
  </si>
  <si>
    <t>ECMWF and GFS, both with deterministic
and probabilistic versions</t>
  </si>
  <si>
    <t>4 days to the public, 8 days to the
authorities</t>
  </si>
  <si>
    <t>Minimum unit is county level</t>
  </si>
  <si>
    <t>Tmean</t>
  </si>
  <si>
    <t>Yellow : 25 ◦ C &gt; Tmean &gt; 27 ◦ C
Orange: 27 ◦ C &gt; Tmean &gt; 29 ◦ C
Red: Tmean ≥ 29 ◦ C</t>
  </si>
  <si>
    <t>Epidemiological, link to mortality</t>
  </si>
  <si>
    <t>National Public Health and Medical Officer Service</t>
  </si>
  <si>
    <t>Website, mobile app (Meteora)</t>
  </si>
  <si>
    <t>IRELAND</t>
  </si>
  <si>
    <t>MET éireann : https://www.met.ie/met-eireann-warning-system-explained</t>
  </si>
  <si>
    <t>Tmax and Tmin</t>
  </si>
  <si>
    <t>Level green : Tmax &lt; 27°C. Level yellow : Tmax &gt;27°C Level orange : Tmax &gt;30°C and Tmin &gt;20°C (24h period)    Level red : Tmax &gt;30°C and Tmin &gt;20°C for 2 nights or more</t>
  </si>
  <si>
    <t>Meteorological</t>
  </si>
  <si>
    <t>People at risk because of their location or activity</t>
  </si>
  <si>
    <t>ISRAEL</t>
  </si>
  <si>
    <t>ITALY</t>
  </si>
  <si>
    <t>, Lazio Health
Authority and Department of Epidemiology, national centre for heat and health prevention CIVIL PROTECTION</t>
  </si>
  <si>
    <t>COSMO deterministic (5 and 2.2 km,depending on the domain) + COSMO-EPS(probabilistic, 7 and 2.2 km)</t>
  </si>
  <si>
    <t>72 h</t>
  </si>
  <si>
    <t>Regional capitals and cities
with more than 250,000
inhabitants (27 cities)</t>
  </si>
  <si>
    <t>Tappmax and “air
mass-based approach”
in larger cities</t>
  </si>
  <si>
    <t>City-specific and month specific</t>
  </si>
  <si>
    <t>Epidemiological, related to excess
mortality</t>
  </si>
  <si>
    <t>Ministry of Health, regional Health services, local health authorities, local civil
protection, Municipalities and social services, (hospitals, retirement homes etc.)
GPs, media, NGOs and associations and care givers who assist the elderly and vulnerable subgroups. Citizen science associations.</t>
  </si>
  <si>
    <t>City-specific warning bulletins avaiable on line on MOH website and local webistes. Bulletins are distributed through the information network both national, regional and local level via email to each designanted focal point which is then in charge of local dissemination. 
Diffusion of warnings via the media,
Ministry of Health/Civil Protection websites. Caldo e salute APP and directly within active surveillance APPS and web portals. New version will be lauched in 2022.</t>
  </si>
  <si>
    <t>2006,2010,2015</t>
  </si>
  <si>
    <t>extended to all 27 cities in 2006, revised airmasses and thresholds in more recent years to account for changes in heat response and climatic conditions (adaptation) and to account for ageing of the population. HEWs should be dynamic as the local vulnerbale population</t>
  </si>
  <si>
    <t>NETHERLANDS</t>
  </si>
  <si>
    <t>National Institute for Public Health and the
Environment (RIVM) and Royal Netherlands
Meteorological Institute (KNMI)</t>
  </si>
  <si>
    <t>HIRLAM + HARMONIE (2.5 km) + ECMWF
ENS (9 km)</t>
  </si>
  <si>
    <t>6 days</t>
  </si>
  <si>
    <t>more than 10% probability of 4 or more days with
Tmax &gt; 27 ◦ C</t>
  </si>
  <si>
    <t>Epidemiological, related to excess of
mortality</t>
  </si>
  <si>
    <t>Elderly, people in care institutions, and chronically ill and
overweight people. Public health services, trade
associations and the Dutch Red Cross</t>
  </si>
  <si>
    <t>Letters, media (press release), emails etc.</t>
  </si>
  <si>
    <t>https://bmchealthservres.biomedcentral.com/track/pdf/10.1186/1472-6963-13-135.pdf</t>
  </si>
  <si>
    <t>2007 ?</t>
  </si>
  <si>
    <t>NORTH MACEDONIA</t>
  </si>
  <si>
    <t>Macedonian Meteorology</t>
  </si>
  <si>
    <t>2 days</t>
  </si>
  <si>
    <t>National and regional</t>
  </si>
  <si>
    <t>Monthly thresholds for each of the 4 phases for 13 cities in 6 regions from May to September</t>
  </si>
  <si>
    <t>Practical: not too many warnings in
a year</t>
  </si>
  <si>
    <t>Retirement homes, GPs, workers.</t>
  </si>
  <si>
    <t>Communication with the public, the health, educational and social sectors, recommendations for health workers, the population and risk groups before and during the heat wave.</t>
  </si>
  <si>
    <t>NORWAY</t>
  </si>
  <si>
    <t>MET Norway</t>
  </si>
  <si>
    <t>Do not issue weather warning, only monitoring from 2022</t>
  </si>
  <si>
    <t>Harmonie Arome</t>
  </si>
  <si>
    <t>0 - 5</t>
  </si>
  <si>
    <t>Regional and specific (station based)</t>
  </si>
  <si>
    <t>TMAX and TMIN</t>
  </si>
  <si>
    <t>"norwegian heatwave" definition: Mean TMAX&gt;=28 deg over 5 days AND Mean TMIN&gt;=16 deg over 5 days</t>
  </si>
  <si>
    <t>Every second year in southern part of Norway where many people lives in cities</t>
  </si>
  <si>
    <t>Vulnear people (elderly and sick, babies)</t>
  </si>
  <si>
    <t>Twitter, radio, phone-calls from media/newspapers</t>
  </si>
  <si>
    <t>No warning, only monitoring from 2022</t>
  </si>
  <si>
    <t>Collaboration with Health authorities has started to find impacts and how to go further</t>
  </si>
  <si>
    <t>POLAND</t>
  </si>
  <si>
    <t>Institute of Meteorology and Water Management–State Research Institute </t>
  </si>
  <si>
    <t>ALARO</t>
  </si>
  <si>
    <t>72h</t>
  </si>
  <si>
    <t>4km</t>
  </si>
  <si>
    <t>Tmin, Tmax</t>
  </si>
  <si>
    <t>three alert levels 
1)Yellow if the following conditions apply simultaneously:
- Tmax ≥ 30° C, 
- Tmin &lt; 18°C, 
- Duration ≥ 2 days.
2)Orange if the following conditions apply simultaneously:
30° C ≤ Tmax ≤ 34° C, 
- Tmin ≥ 18° C, 
- Duration ≥ 2 days.
3)Red Yellow if the following conditions apply simultaneously:
-Tmax &gt; 35° C,
- Tmin ≥ 18° C,
- Duration ≥ 2 days.</t>
  </si>
  <si>
    <t>Climatology-based values</t>
  </si>
  <si>
    <t>Public (general population)
State administration at various levels, Local authorities</t>
  </si>
  <si>
    <t>Institute of Meteorology and Water Management app and website. SMS alerts  via mobile operators based on approximate users location. Press, Radio, Televisions</t>
  </si>
  <si>
    <t>PORTUGAL</t>
  </si>
  <si>
    <t>Portuguese Meteorological Institute,
Portuguese National Institute of Health,
Portuguese General Health Directorate and
Portuguese Civil Protection Service</t>
  </si>
  <si>
    <t>ALADIN (12 km)</t>
  </si>
  <si>
    <t>Regional and specific for Lisbon</t>
  </si>
  <si>
    <t>For heat wave definition:
TemperatureFor alert
levels: ÍCARO index</t>
  </si>
  <si>
    <t>Heat wave: Temperature &gt; 32 ◦ C for at least 2 days
Level 1 &amp; 2: ÍCARO index &lt; 0.31
Level 3: ÍCARO index 0.31–0.93
Level 4 (Heat-wave alert): ÍCARO index &gt; 0.93</t>
  </si>
  <si>
    <t>Epidemiological</t>
  </si>
  <si>
    <t>Portuguese National Institute of Health, the Portuguese
Meteorological Institute, Portuguese General Health
Directorate and the Portuguese Civil Protection Service</t>
  </si>
  <si>
    <t>ROMANIA</t>
  </si>
  <si>
    <t>Health Ministry and National Meteorological Administration</t>
  </si>
  <si>
    <t xml:space="preserve">ECMWF(10 days, deterministic and ensemble) 
ALADIN/ALARO (6.5 km resolution, up to 78 h) 
COSMO (7 km resolution, up to 78 h) 
COSMO (2.8 km resolution, up to 30 h) 
ICON (2.8 km resolution, up to 78 h) 
</t>
  </si>
  <si>
    <t>1-4 days</t>
  </si>
  <si>
    <t xml:space="preserve">Tmax / Tmin
Temperature / Humidity Index
</t>
  </si>
  <si>
    <t xml:space="preserve">Yellow code: Tmax 37 - 39°C for SV and S Romania;
Tmax 35-37°C for other regions; Or/and Temperature/Humidity Index over 80 units.
Orange code: Tmax 39-42°C for SV and S Romania;
Tmax 37-39°C for other regions.
Red code: Tmax over 42°C for SV and S Romania;
Tmax 39-40°C for other regions.
</t>
  </si>
  <si>
    <t>Climatological</t>
  </si>
  <si>
    <t>Local and national authorities, civil protection, ministries, red cross, mass media, general public</t>
  </si>
  <si>
    <t>Website, mailing lists, mass media, social media</t>
  </si>
  <si>
    <t>updated thresholds</t>
  </si>
  <si>
    <t>SERBIA</t>
  </si>
  <si>
    <t>Republic Hydrometeorological Service of Serbia</t>
  </si>
  <si>
    <t>2013, 2016</t>
  </si>
  <si>
    <t>ECMWF HRES (8 km), NMM (4 km)</t>
  </si>
  <si>
    <t>10 days, 3 days</t>
  </si>
  <si>
    <t>Districts and cities, National Spatial Distribution</t>
  </si>
  <si>
    <t>Tmax, THI Temperature Humidity Index</t>
  </si>
  <si>
    <t>Tmax tresholds city/region based for 3 categories: potentially dangerous, dangerous and extremely dangerous. Heat wave with at least 3 consecutive days in dangerous or extremely dangerous category, for THI = 26-32 C - caution; 33-41 C - increased attention; 42-54 C - danger; &gt;54 C extreme danger</t>
  </si>
  <si>
    <t>Climatology based percentiles, Infuence on human health</t>
  </si>
  <si>
    <t>General population, Institute of Public Health of Serbia</t>
  </si>
  <si>
    <t>Website (maps, Bulletins), Public media, emails</t>
  </si>
  <si>
    <t>2012, 2016</t>
  </si>
  <si>
    <t>New criteria for HW, THI introduced</t>
  </si>
  <si>
    <t>For more info please contact Dragan Mihic from national meteorological service dragan.mihic@hidmet.gov.rs</t>
  </si>
  <si>
    <t>SLOVAKIA</t>
  </si>
  <si>
    <t>Slovak Hydrometeorological Institute https://www.shmu.sk/sk/?page=1</t>
  </si>
  <si>
    <t>ECMWF, ALADIN</t>
  </si>
  <si>
    <t>available for 79 districts in Slovakia, according the division since 1996</t>
  </si>
  <si>
    <t>3 warnings thresholds 1. yelllow: Tmax&gt; 33 ◦ C, 2. orange: Tmax&gt; 35 ◦ C nad 3. red: Tmax&gt; 38 ◦ C</t>
  </si>
  <si>
    <t>Public (general population), civil defense, mayors of the cities
or red warning</t>
  </si>
  <si>
    <t>Website, mailing lists, media, social media. https://www.shmu.sk/sk/?page=987</t>
  </si>
  <si>
    <t>2012, implematation within the frame of Meteoalarm EU</t>
  </si>
  <si>
    <t>SLOVENIA</t>
  </si>
  <si>
    <t>Slovenian Environment Agency (ARSO)</t>
  </si>
  <si>
    <t>ECMWF and Aladin</t>
  </si>
  <si>
    <t>5 regions—approximately 4000
km^2 each</t>
  </si>
  <si>
    <t>Tmean and Tmax</t>
  </si>
  <si>
    <t>Yellow: Tmax &gt; 31 ◦ C
Orange: Tmax &gt; 34 ◦ C and/or Tmean &gt; 26 ◦ C
Red: Tmax &gt; 37 ◦ C and/or Tmean &gt; 28 ◦ C
Tresholds are regionally-based</t>
  </si>
  <si>
    <t>Climatology-based percentiles</t>
  </si>
  <si>
    <t>Public (general population), civil defense in case of orange
or red warning</t>
  </si>
  <si>
    <t>public media</t>
  </si>
  <si>
    <t>SPAIN</t>
  </si>
  <si>
    <t>National Plan joining several institutions (e.g.,
National Meteorological Agency AEMET,
Health Ministry)</t>
  </si>
  <si>
    <t>2006 (METEOALERT)</t>
  </si>
  <si>
    <t>HARMONIE-AROME (deterministic) +
IFS-ECMWF (probabilistic, longer lead times)</t>
  </si>
  <si>
    <t>3 days (HARMONY-AROME), 5
days (IFS-ECMWF)</t>
  </si>
  <si>
    <t>Regions and provinces</t>
  </si>
  <si>
    <t>Heat wave: Tmax 
HHAP:
Tmax and Tmin</t>
  </si>
  <si>
    <t>Heat wave: At least 3 days with at least 10% of stations in the region with Tmax &gt; 95th percentile.
Warnings for single-day events (yellow | orange | red corresponding to different Tmax for each
region: North 34 | 37 | 40; Center and Med. 36 | 39 | 42; South 38 | 40 | 44).
HHAP:
Level 1: 1–2 days Tmax and Tmin above threshold simultaneously
Level 2: 3–4 days above threshold
Level 3: 5 days above threshold</t>
  </si>
  <si>
    <t>Heat wave: Climatological percentiles for
each region.
HHAP: temperature triggering mortality.</t>
  </si>
  <si>
    <t>General population, Civil Protection, Maritime Rescue
Centers, Department of Traffic, Military Unit for
Emergencies, Red Cross, other Met Services, government
and ministries, media.</t>
  </si>
  <si>
    <t>Website (maps, bulletins and CAP), social
media (especially Twitter), Open Data server
for further analyses.</t>
  </si>
  <si>
    <t>SPAIN &gt;&gt; CATALONIA</t>
  </si>
  <si>
    <t>Regional plan joining several institutions, e.g. Meteorological Service of Catalonia, Public Health Agency of Catalonia, Catalan Health Service.</t>
  </si>
  <si>
    <t>2004, "Action Plan to Prevent the Effects of Heat Waves on Human Health" (POCS).</t>
  </si>
  <si>
    <t>WRF-ARW (using ECMWF IFS as ic/bc).</t>
  </si>
  <si>
    <t>3 days at 27 km (Europe), 9 km (Iberian Peninsula) and 3 km (Eastern Spain). 2 days at 1.5 km (Catalonia).</t>
  </si>
  <si>
    <t>Information available for the 42 counties of Catalonia. For info: Catalonia has 4 NUTS3 regions, so these counties are very small. Their population vary from 2.2M (Barcelona county) to 4k (in the Pyrenees). More info: https://en.wikipedia.org/wiki/Comarques_of_Catalonia</t>
  </si>
  <si>
    <t>Maximum temperature.</t>
  </si>
  <si>
    <t>Level 1: &lt;30% of extreme temperature. Level 2: 30-70% of extreme temperature. Level 3: &gt;70% of extreme temperature. Level 4: &lt;30% of heat wave. Level 5: 30-70% of heat wave. Level 6: &gt;70% of heat wave.</t>
  </si>
  <si>
    <t>Extreme temperature: T &gt; P98. Heat wave: 3 consecutive days of extreme temperature.</t>
  </si>
  <si>
    <t>Epidemiological Surveillance Network, the National Health Service, the Ministries of the Interior, Labour and Social Affairs, the Emergency Medical System, the Catalan Health Institute, the Federation of Cities, the Federation of Pharmacies, the Legal and Forensic Medical Institute, the Union of Hospitals, the Social Network Consortium and the Red Cross, among many others.</t>
  </si>
  <si>
    <t>Website, mailing lists, media, social media.</t>
  </si>
  <si>
    <t>2000.</t>
  </si>
  <si>
    <t>2009, 2012</t>
  </si>
  <si>
    <t>2009: new definition criterion. 2012: new application and database that reduced the time of decision making.</t>
  </si>
  <si>
    <t>SPAIN &gt;&gt; MADRID</t>
  </si>
  <si>
    <t>Dirección General de Salud Pública CONSEJERÍA DE SANIDAD. COMUNIDAD DE MADRID</t>
  </si>
  <si>
    <t>Region</t>
  </si>
  <si>
    <t>Level 0 : 5 days with Tmax&lt;36,5°C. Level 1 : 3 days with Tmax &lt;38,5°C. Level 2 : Tmax &gt; 38,5°C or 4 days with Tmax&gt;36,5°C</t>
  </si>
  <si>
    <t>Los criterios están basados en el análisis de series temporales de temperatura y mortalidad</t>
  </si>
  <si>
    <t>SPAIN &gt;&gt; MURCIA</t>
  </si>
  <si>
    <t>Regional plan joining several institutions:
-Regional Public Health Agency
-National Meteorological Agency
-Medical Emergencies Service
-Environmental Health
-Healthcare Service
-Epidemiological Service
-Health Promotion
-Social Protection Institute
-Civil Protection Service
-Federation of Municipalities</t>
  </si>
  <si>
    <t>Provided by AEMET (Spanish Meteorological Agency) HARMONIE-AROME (deterministic) +
IFS-ECMWF (probabilistic, longer lead times)</t>
  </si>
  <si>
    <t>Sub-regional: 5 isoclimate areas</t>
  </si>
  <si>
    <t>IDET Index (Extreme Temperatures Daily Index)</t>
  </si>
  <si>
    <t>Level 0 (Green): 0 days with Tmax and Tmin simultaneously above threshold
Level 1 (Yellow): 1-2 days with Tmax and Tmin simultaneously above threshold 
Level 2 (Orange): 3-4 days with Tmax and Tmin simultaneously above threshold 
Level 3 (Red): 5 days with Tmax and Tmin simultaneously above threshold</t>
  </si>
  <si>
    <t>Tmin&gt;23C
Tmax&gt;34C</t>
  </si>
  <si>
    <t>IDET Index disseminated daily to &gt;80 target groups, including Health-care Centres, Hospitals, City Councils, Red Cross, Civil Protection, Media, among othes</t>
  </si>
  <si>
    <t>2014, 2015</t>
  </si>
  <si>
    <t>2014: Only heat-related mortality is monitored. Previously, also morbiditiy cases were reported.
2015: Temperature thresholds modified.</t>
  </si>
  <si>
    <t>SPAIN &gt;&gt; ANDALUSIA</t>
  </si>
  <si>
    <t>Plan Andaluz Temperaturas Excesivas</t>
  </si>
  <si>
    <t>Tmin Tmax</t>
  </si>
  <si>
    <t>basada en variables climatológicas y sanitarias obtenidas del análisis de las series históricas y de los estudios realizados</t>
  </si>
  <si>
    <t>SWEDEN</t>
  </si>
  <si>
    <t>Swedish Meteorological and Hydrological
Institute (SMHI)</t>
  </si>
  <si>
    <t>Action Plan to Prevent the Effects of Heat Waves on Human Health (POCS) - 2013</t>
  </si>
  <si>
    <t>HARMONIE-AROME (0–48h, deterministic +
probabilistic with 9 members) + ECMWF
(longer lead times, deterministic and ENS)</t>
  </si>
  <si>
    <t>3–5 days ahead depending on the
warning criterion</t>
  </si>
  <si>
    <t>40 warning districts of variable
size. The warning is limited, if
necessary, to a smaller part of
the district</t>
  </si>
  <si>
    <t>Heat warning class 1: Tmax ≥ 30 ◦ C for 3 or 4 days
Heat warning class 2: Tmax ≥ 30 ◦ C for at least 5 days or Tmax &gt; 33 ◦ C for at least 3 days.
Notification: Tmax ≥ 26 ◦ C for at least 3 days.
Risk: same thresholds as for the class 2 warning,
but the risk concept is used when the forecast is more uncertain.
“notification” and “risk” are not considered warnings</t>
  </si>
  <si>
    <t>Epidemiological, based on the relation
between temperature and rate of
mortality.</t>
  </si>
  <si>
    <t>General public and health providers as hospitals, elderly
care etc.</t>
  </si>
  <si>
    <t>Authorities and institutions in the health
sector and in the elderly care can register to
receive emails when heat warnings are
issued</t>
  </si>
  <si>
    <t>https://www.ncbi.nlm.nih.gov/pmc/articles/PMC6713612/pdf/nihms-1047094.pdf</t>
  </si>
  <si>
    <t>SWITZERLAND</t>
  </si>
  <si>
    <t>Federal Office of Meteorology and
Climatology (MeteoSwiss)</t>
  </si>
  <si>
    <t xml:space="preserve">2005, it was revised/updated in 2021
https://salutpublica.gencat.cat/ca/ambits/vigilancia_salut_publica/pocs
</t>
  </si>
  <si>
    <t>COSMO CLM deterministic + MOSMIX +
ENS ECMWF (longer lead times)</t>
  </si>
  <si>
    <t>COSMO 3 days, ENS ECMWF 5 days</t>
  </si>
  <si>
    <t>Heat index</t>
  </si>
  <si>
    <t>Level 3 (orange): at least 3 days with HI &gt; 90
Level 4 (red): at least 5 days with HI &gt; 93</t>
  </si>
  <si>
    <t>Construction industry, the trade unions (e.g., UNIA), local and
cantonal authorities (including public health), general population</t>
  </si>
  <si>
    <t>MeteoSwiss app and website.Postal code
subscription via app for receiving
region-specific warnings.</t>
  </si>
  <si>
    <t xml:space="preserve">MeteoSwiss changed the warning thresolds and added a third alert level in 2021. The warnings are now based on Tmean.
Level 2 (yellow): short, intense periods with Tmean ≥ 25 °C for one to two days.
Level 3 (orange): Tmean ≥ 25 °C for at least three days.
Level 4 (red): Tmean ≥ 27 °C on at least three days.
Nature of warning thresholds: Epidemiological, based on the relation
between temperature and rate of
mortality.
</t>
  </si>
  <si>
    <t>TURKEY</t>
  </si>
  <si>
    <t>UK</t>
  </si>
  <si>
    <t>Met Office and Public Health England (PHE)</t>
  </si>
  <si>
    <r>
      <t xml:space="preserve">Rochelle:
</t>
    </r>
    <r>
      <rPr>
        <sz val="10"/>
        <color rgb="FF000000"/>
        <rFont val="Arial"/>
        <family val="2"/>
        <charset val="238"/>
      </rPr>
      <t xml:space="preserve">Heat Health Watch Service (HHWS) operates in England since 2004 only during summetime [from 1 June to 15 September], except Level 0 which operates during all year. </t>
    </r>
    <r>
      <rPr>
        <sz val="10"/>
        <color rgb="FF000000"/>
        <rFont val="Arial"/>
        <family val="2"/>
        <charset val="238"/>
      </rPr>
      <t xml:space="preserve">
</t>
    </r>
    <r>
      <rPr>
        <sz val="6"/>
        <color rgb="FF000000"/>
        <rFont val="Arial"/>
        <family val="2"/>
        <charset val="238"/>
      </rPr>
      <t>page13 -</t>
    </r>
    <r>
      <rPr>
        <sz val="6"/>
        <color rgb="FF000000"/>
        <rFont val="Arial"/>
        <family val="2"/>
        <charset val="238"/>
      </rPr>
      <t xml:space="preserve">
https://assets.publishing.service.gov.uk/government/uploads/system/uploads/attachment_data/file/888668/Heatwave_plan_for_England_2020.pdf</t>
    </r>
  </si>
  <si>
    <t>Deterministic UK (UKV, 1.5 km) + Ensemble
UK (MOGREPS-UK, 2.2 km)</t>
  </si>
  <si>
    <t>120 h (UKV) to 5 days
(MOGREPS-UK)</t>
  </si>
  <si>
    <t>Regional and local</t>
  </si>
  <si>
    <r>
      <t xml:space="preserve">Tmax and Tmin
</t>
    </r>
    <r>
      <rPr>
        <b/>
        <sz val="10"/>
        <color rgb="FF000000"/>
        <rFont val="Arial"/>
        <family val="2"/>
        <charset val="238"/>
      </rPr>
      <t>Rochelle:</t>
    </r>
    <r>
      <rPr>
        <b/>
        <sz val="10"/>
        <color rgb="FF000000"/>
        <rFont val="Arial"/>
        <family val="2"/>
        <charset val="238"/>
      </rPr>
      <t xml:space="preserve">
</t>
    </r>
    <r>
      <rPr>
        <sz val="10"/>
        <color rgb="FF000000"/>
        <rFont val="Arial"/>
        <family val="2"/>
        <charset val="238"/>
      </rPr>
      <t xml:space="preserve">Threshold Tmax day and Tmax night
page 38 - </t>
    </r>
    <r>
      <rPr>
        <sz val="6"/>
        <color rgb="FF000000"/>
        <rFont val="Arial"/>
        <family val="2"/>
        <charset val="238"/>
      </rPr>
      <t xml:space="preserve">https://assets.publishing.service.gov.uk/government/uploads/system/uploads/attachment_data/file/888668/Heatwave_plan_for_England_2020.pdf </t>
    </r>
  </si>
  <si>
    <r>
      <t xml:space="preserve">Region-specific (for Tmax and Tmin).
Average thresholds: 30 ◦ C for Tmax and 15 ◦ C for Tmin for at least two consecutive days.
Five alert levels (Levels 0–4).
</t>
    </r>
    <r>
      <rPr>
        <b/>
        <sz val="10"/>
        <color rgb="FF000000"/>
        <rFont val="Arial"/>
        <family val="2"/>
        <charset val="238"/>
      </rPr>
      <t>Rochelle</t>
    </r>
    <r>
      <rPr>
        <sz val="10"/>
        <color rgb="FF000000"/>
        <rFont val="Arial"/>
        <family val="2"/>
        <charset val="238"/>
      </rPr>
      <t xml:space="preserve">: 
Level 0, active all year, is long-term planning to reduce the heat-related health risk. 
Level 1 starts at the beginning of summer and remains activated until 15 September, unless a temperature threshold is triggered. 
Levels 2 and 3 are activated if any Region-specific Met Office NSWWS threshold temperature is forecasted (Level 2) or reached (Level 3). 
Level 4 becomes a matter of national emergency because the hot weather is considered so severe and/or prolonged that it will surpass the health and social care impact boundaries.
Pages 20-26 [actions on each level explained in details]
Page 38 [threshold maximum day and night temperatures defined by the Met Office National Severe Weather Warning Service (NSWWS) region]
</t>
    </r>
    <r>
      <rPr>
        <u/>
        <sz val="6"/>
        <color rgb="FF1155CC"/>
        <rFont val="Arial"/>
        <family val="2"/>
        <charset val="238"/>
      </rPr>
      <t>https://assets.publishing.service.gov.uk/government/uploads/system/uploads/attachment_data/file/888668/Heatwave_plan_for_England_2020.pdf</t>
    </r>
  </si>
  <si>
    <r>
      <t xml:space="preserve">Epidemiological (15–20% increased risk
of mortality)
</t>
    </r>
    <r>
      <rPr>
        <b/>
        <sz val="10"/>
        <color rgb="FF000000"/>
        <rFont val="Arial"/>
        <family val="2"/>
        <charset val="238"/>
      </rPr>
      <t>Rochelle:</t>
    </r>
    <r>
      <rPr>
        <b/>
        <sz val="10"/>
        <color rgb="FF000000"/>
        <rFont val="Arial"/>
        <family val="2"/>
        <charset val="238"/>
      </rPr>
      <t xml:space="preserve">
</t>
    </r>
    <r>
      <rPr>
        <sz val="10"/>
        <color rgb="FF000000"/>
        <rFont val="Arial"/>
        <family val="2"/>
        <charset val="238"/>
      </rPr>
      <t xml:space="preserve">"Although excess seasonal deaths start to occur at approximately 25°C, for practical reasons the health
heatwave alert system is based upon temperature thresholds where the odds ratio is above 1.15 to 1.2 (a 15 to 20% increased risk)."
page 40 - </t>
    </r>
    <r>
      <rPr>
        <sz val="6"/>
        <color rgb="FF000000"/>
        <rFont val="Arial"/>
        <family val="2"/>
        <charset val="238"/>
      </rPr>
      <t>https://assets.publishing.service.gov.uk/government/uploads/system/uploads/attachment_data/file/888668/Heatwave_plan_for_England_2020.pdf</t>
    </r>
  </si>
  <si>
    <t>National Health Service, local authorities, social care, other
public agencies, professionals working with people at risk,
individuals, local communities, voluntary groups.</t>
  </si>
  <si>
    <t>Media, website, emails, social media, leaflet
(via pharmacies, GPs, national health system,
advice centres, hospitals, care homes)</t>
  </si>
  <si>
    <r>
      <t>Rochelle:</t>
    </r>
    <r>
      <rPr>
        <sz val="10"/>
        <color rgb="FF000000"/>
        <rFont val="Arial"/>
        <family val="2"/>
        <charset val="238"/>
      </rPr>
      <t xml:space="preserve">
England since 2004 only during summetime </t>
    </r>
  </si>
  <si>
    <r>
      <t xml:space="preserve">Rochelle:
</t>
    </r>
    <r>
      <rPr>
        <sz val="10"/>
        <color rgb="FF000000"/>
        <rFont val="Arial"/>
        <family val="2"/>
        <charset val="238"/>
      </rPr>
      <t>Heatwave Plan for England:</t>
    </r>
    <r>
      <rPr>
        <sz val="10"/>
        <color rgb="FF000000"/>
        <rFont val="Arial"/>
        <family val="2"/>
        <charset val="238"/>
      </rPr>
      <t xml:space="preserve">
</t>
    </r>
    <r>
      <rPr>
        <u/>
        <sz val="6"/>
        <color rgb="FF1155CC"/>
        <rFont val="Arial"/>
        <family val="2"/>
        <charset val="238"/>
      </rPr>
      <t>https://www.gov.uk/government/publications/heatwave-plan-for-england</t>
    </r>
    <r>
      <rPr>
        <u/>
        <sz val="6"/>
        <color rgb="FF1155CC"/>
        <rFont val="Arial"/>
        <family val="2"/>
        <charset val="238"/>
      </rPr>
      <t xml:space="preserve">
</t>
    </r>
  </si>
  <si>
    <r>
      <t xml:space="preserve">This table summarizes information about </t>
    </r>
    <r>
      <rPr>
        <b/>
        <sz val="12"/>
        <color rgb="FF000000"/>
        <rFont val="Verdana"/>
        <family val="2"/>
        <charset val="238"/>
      </rPr>
      <t>Heat Health Action Plans (HHAP)</t>
    </r>
    <r>
      <rPr>
        <sz val="12"/>
        <color rgb="FF000000"/>
        <rFont val="Verdana"/>
        <family val="2"/>
        <charset val="238"/>
      </rPr>
      <t xml:space="preserve"> in Europe and associated countries of PROCLIAS. 
Part of the information is taken from Casanueva et al. (2019) (Table 3 and 4)</t>
    </r>
  </si>
  <si>
    <t>BASIC INFORMATION ON HHAP</t>
  </si>
  <si>
    <t>DETAILS OF ACTIONS TAKEN</t>
  </si>
  <si>
    <t>NAME OF PLAN AND IF AVAILABLE URL</t>
  </si>
  <si>
    <t>LEAD BODY</t>
  </si>
  <si>
    <t>IMPLEMENTATION YEAR OF CURRENT PLAN</t>
  </si>
  <si>
    <t>ACTIVE PERIOD DURING YEAR</t>
  </si>
  <si>
    <t>LONG-TERM (URBAN) PLANNING [Yes/No]</t>
  </si>
  <si>
    <t>REAL-TIME SURVEILLANCE/ MORTALITY MONITORING [Yes/No]</t>
  </si>
  <si>
    <t>FREQUENCY OF REVISION AND EVALUATION</t>
  </si>
  <si>
    <t>ACTION PHASES</t>
  </si>
  <si>
    <t>TARGETED COMMUNICATION STRATEGY (DIRECTED AT GENERAL PUBLIC, HEALTH SECTOR, ADMINISTRATION, ETC.) [Yes/No]</t>
  </si>
  <si>
    <t>MEASURES TO REDUCE HEAT EXPOSURE (INDOOR AND OUTDOOR) [Yes/No]</t>
  </si>
  <si>
    <t>SPECIAL ATTENTION TO VULNERABLE PEOPLE [Yes/No]</t>
  </si>
  <si>
    <t>MEASURES DIRECTED AT HEALTH CARE SYSTEMS (HOSPITALS, NURSING HOMES ETC.) [Yes/No]</t>
  </si>
  <si>
    <t>last year of update / implementation</t>
  </si>
  <si>
    <t>Tirana</t>
  </si>
  <si>
    <t>Level 0—Long-term development and planning for the summer: Elaboration and updating of information material and ensure information flow with
stakeholders and other administrations.
Level 1—protection during summer, between heat waves: preparation of information (general public and specific target groups), check and update
emergency phone list.
Level 2—during heat wave:
- Transmission of heat warnings to umbrella organizations and sponsors of care facilities for the elderly andparticularly heat-sensitive population groups.
- Management of hospitals, residential and care facilities and mobile services:
- Increased attention to signs of heat-related illnesses.
- Recording and documenting room-related heat stress (room temperature, solar radiation) and taking acute adaptation measures (ventilation behaviour, sun
protection, changing the occupied zone)
- Ensure sufficient availability and use of suitable beverages, monitor liquid balance of endangered persons.
- Support cooling of the body (e.g., showers, hand and foot baths) and appropriate clothing, bed linen.
- Ensure appropriate nutrition and food safety.
- Avoidance of outdoor activities at peak times.
- Family and neighborly contacts consciously activate
- Phone line available for the population.</t>
  </si>
  <si>
    <t>yes</t>
  </si>
  <si>
    <t>Yes</t>
  </si>
  <si>
    <t>Preventive and direct actions</t>
  </si>
  <si>
    <t>Vienna</t>
  </si>
  <si>
    <t>Santé publiquen sécurité de la chaine alimentaire et environnement</t>
  </si>
  <si>
    <t>15 May - 30 September</t>
  </si>
  <si>
    <t>Green : sensibilisation du public aux risques, encouragements à la solidarité envers les personnes vulnérables. Informations à tous les professionnels de santé, organisations sociales. Yellow : communiqués d'avertissement. Orange : campagne pour les soignant.es des personnes à risques, activation du centre d'appel. Red : phase d'urgence</t>
  </si>
  <si>
    <t>Brussels</t>
  </si>
  <si>
    <t>Sustav upozorenja na toplinske valove ili klimatske promjene i zdravlje</t>
  </si>
  <si>
    <t>01/05 - 30/09</t>
  </si>
  <si>
    <t>Level 0 : green, awareness ; Level 1 : yellow, warning/preparerness ; Level 2 : orange, heat wave ; Level 3 : red, emergency</t>
  </si>
  <si>
    <t>/</t>
  </si>
  <si>
    <t>No HHAP up to date</t>
  </si>
  <si>
    <t>Kohtla-Järve linn</t>
  </si>
  <si>
    <t>Narva linn</t>
  </si>
  <si>
    <t>1 DURING ALERT PHASE(S)</t>
  </si>
  <si>
    <t>Pärnu linn</t>
  </si>
  <si>
    <t>Tallinn</t>
  </si>
  <si>
    <t>Tartu linn</t>
  </si>
  <si>
    <t>Helsinki</t>
  </si>
  <si>
    <r>
      <t>Plan National Canicule</t>
    </r>
    <r>
      <rPr>
        <sz val="10"/>
        <color rgb="FF000000"/>
        <rFont val="Verdana"/>
        <family val="2"/>
        <charset val="238"/>
      </rPr>
      <t xml:space="preserve"> (till 2021)</t>
    </r>
    <r>
      <rPr>
        <sz val="10"/>
        <color rgb="FF000000"/>
        <rFont val="Verdana"/>
        <family val="2"/>
        <charset val="238"/>
      </rPr>
      <t xml:space="preserve">
</t>
    </r>
    <r>
      <rPr>
        <u/>
        <sz val="10"/>
        <color rgb="FF1155CC"/>
        <rFont val="Verdana"/>
        <family val="2"/>
        <charset val="238"/>
      </rPr>
      <t>ORSEC guide</t>
    </r>
  </si>
  <si>
    <t>PNC(2004)
ORSEC Guide (2021)</t>
  </si>
  <si>
    <t>From 1st June till 15th September</t>
  </si>
  <si>
    <t>Upscale hotline staff.
Track and support homeless (t-shirt, water, sun-cap, map of drinking fountains, emergency shelter venues).
Voluntary registry of vulnerable people and monitoring (NGO, including Red Cross).
Installation and maintenance of air-conditioned in residential care.
Installation of public water provision or open up public swimming pools.</t>
  </si>
  <si>
    <t>H a n d l u n g s e m p f e h l u n g e n
für die Erstellung von Hitzeaktionsplänen
zum Schutz der menschlichen Gesundheit</t>
  </si>
  <si>
    <t>Umweltbundesamt (leardship)</t>
  </si>
  <si>
    <t>Overall phone hotline and information campaign.</t>
  </si>
  <si>
    <t>No</t>
  </si>
  <si>
    <t>Totally delegated to federal states.
The National Plan does not contain cocrete meassures but only recommendations</t>
  </si>
  <si>
    <t>https://www.c40.org/case-studies/cities100-athens-heatwave-action-plan-protects-vulnerable-residents/</t>
  </si>
  <si>
    <t>Athens</t>
  </si>
  <si>
    <t>Forecasted heat wave: info to health care system and general public.
During heatwave: provide portable water in public places, water roads and parks, monitor water supply and quality, planned disruption of
electricity, special rules for employers and restrictions for public transport.
Extraordinary measures: increase hospital beds, ambulance units, hospital staff, cool bodies at morgues, extend opening hours public air-conditioned
places and pools, defer non-essential surgery.</t>
  </si>
  <si>
    <t>Budapest</t>
  </si>
  <si>
    <t>Yellow : notify those who are at risk because of their location and/or activity, and allow them to take preventative action.               Orange :  all recipients in the affected areas should prepare themselves in an appropriate way for the anticipated conditions.     Red : recipients take action to protect themselves and/or their properties; this could be by moving their families out of the danger zone temporarily; by staying indoors; or by other specific actions</t>
  </si>
  <si>
    <t>"so far no directive has been formulated by the Ministry in principle to incorporate considerations of climate change in the decisions made in the Ministry, as proposed in the strategic plan"</t>
  </si>
  <si>
    <t>Telaviv</t>
  </si>
  <si>
    <t>Piano Operativo Nazionale per la Previsione e la prevenzione degli 
Effetti delle ondate di calore sulla Salute</t>
  </si>
  <si>
    <t>Dipartimento di Epidemiologia del Lazio (DEP Lazio), centro di Competenza 
Nazionale della Protezione Civile,</t>
  </si>
  <si>
    <t>may-september</t>
  </si>
  <si>
    <t>city level</t>
  </si>
  <si>
    <t>not in HHAP but part of PAESC or climate adaptation plans</t>
  </si>
  <si>
    <t>yes mortality/ER visits</t>
  </si>
  <si>
    <t>annual</t>
  </si>
  <si>
    <t>Active monitoring of vulnerable groups (specifically identified through administrative and health information registries) by GPs, health care and social services, volunteers (phone calls &amp; home visits by GPs).
Activation of emergency protocols in care and retirement homes and in hospitals (postpone non-emergency surgery, discharge planning, staff
rotation restrictions, increased hospital beds).
Training and Educational campaigns for health and social care staff.</t>
  </si>
  <si>
    <t>not in HHAP but in Climate adaptation plans or PAESC</t>
  </si>
  <si>
    <t>www.salute.gov.it/caldo</t>
  </si>
  <si>
    <t>LATVIA</t>
  </si>
  <si>
    <t>information campaign for general public and vulnerable groups</t>
  </si>
  <si>
    <t>Several organizations warn their target groups and regional contacts.</t>
  </si>
  <si>
    <t>Climate change and health committee of the Ministry of Health</t>
  </si>
  <si>
    <t>1 May - 30 September</t>
  </si>
  <si>
    <t>Every year</t>
  </si>
  <si>
    <t>Monitoring, information provided to retirement homes and GPs, installation or maintenance of public drinking fountains &amp; springs, education to
public.
Phase 1: preventative measures media campaign, home visits to elderly, socially isolated and homeless (red cross); phone line.
Phase 2: supply food to elderly and at risk media alert, specific measure for health care preparedness, protection measures for occupationally heat
exposed workers; including activating redistribution in residential settings to air-conditioned rooms, extra staff on hotline.
Phase 3: Emergency, led by National Crises Management Center</t>
  </si>
  <si>
    <t>Warsaw</t>
  </si>
  <si>
    <t>PLANO DE CONTINGÊNCIA SAÚDE 
SAZONAL – MÓDULO VERÃO REFERENCIAIS 2021*</t>
  </si>
  <si>
    <t>Ministério da Saúde. Direção-Geral da Saúde.</t>
  </si>
  <si>
    <t>1st May till 30th September</t>
  </si>
  <si>
    <t>Public health emergency telephone used as hotline and reinforced with nursing personnel.
Increase capacity of health care services, upscale staff for telephone hotline.
Info to public, authorities, health sectors &amp; media. Activate local refuge shelters, monitor need for transportation to places of refuge; notify most
vulnerable; increase capacity of health care services.</t>
  </si>
  <si>
    <t>Beja</t>
  </si>
  <si>
    <t>Increase capacity of health care services, upscale staff for telephone hotline.</t>
  </si>
  <si>
    <t>Coimbra</t>
  </si>
  <si>
    <t>Info to public, authorities, health sectors &amp; media. Activate local refuge shelters, monitor need for transportation to places of refuge; notify most</t>
  </si>
  <si>
    <t>Castelobranco</t>
  </si>
  <si>
    <t>vulnerable; increase capacity of health care services.</t>
  </si>
  <si>
    <t>Faro</t>
  </si>
  <si>
    <t>Lisboa</t>
  </si>
  <si>
    <t>PLANO DE CONTINGÊNCIA SAÚDE SAZONAL Módulo Verão 2021 e COVID-19</t>
  </si>
  <si>
    <t>Administração Regional de Saúde de Lisboa e Vale do Tejo, I.P. 
Departamento de Saúde Pública</t>
  </si>
  <si>
    <t>15 days after end of active period</t>
  </si>
  <si>
    <t xml:space="preserve">Level 1:
- Information on prevention to general public
- update and implement especific HHAP 
- social services
Level 2:
- spread the alert
- activation of specific HHAP
- information on heat health risk to general public and social services 
- apply intervention meassures
- adaptate the response of the health servicies
Level 3:
- spread warning on target groups
- ensure the mantenance of response actions
- strengthen the health sector and care facilities.
</t>
  </si>
  <si>
    <t>Porto</t>
  </si>
  <si>
    <t>Monitoring and general advice to public and health institutions.
Phone hotline; daily information to health ministry, health authorities; monitors sanitary, water, food prep, med storage, outreach people with social
dependence. Emergency response: increase support to ambulance or emergency services.</t>
  </si>
  <si>
    <t>Bucharest</t>
  </si>
  <si>
    <t>Phone hotline; daily information to health ministry, health authorities; monitors sanitary, water, food prep, med storage, outreach people with social</t>
  </si>
  <si>
    <t>Brasov</t>
  </si>
  <si>
    <t>dependence. Emergency response: increase support to ambulance or emergency services.</t>
  </si>
  <si>
    <t>Cluj-Napoca</t>
  </si>
  <si>
    <t>Constanta</t>
  </si>
  <si>
    <t>Craiova</t>
  </si>
  <si>
    <t>Galati</t>
  </si>
  <si>
    <t>Iasi</t>
  </si>
  <si>
    <t>Timisoara</t>
  </si>
  <si>
    <t>Belgrade</t>
  </si>
  <si>
    <t>Action plan for the implementation of the Strategy for Adaptation of the Slovak Republic to Climate Change, from the year 2021 -2027</t>
  </si>
  <si>
    <t>The Ministry of the Environment of Slovakia</t>
  </si>
  <si>
    <t>all year long</t>
  </si>
  <si>
    <t>national</t>
  </si>
  <si>
    <t>no</t>
  </si>
  <si>
    <t>First evasluation in 31.12.2022 and then evaluation in two years period</t>
  </si>
  <si>
    <t>The Action plan consist of 7 adaptation priorities and goals</t>
  </si>
  <si>
    <t>Bratislava</t>
  </si>
  <si>
    <t>review published in June 2020 : "In Slovenia, there is no comprehensive heat health warning system that “would combine public
health actions with meteorological forecasts with active identification and care of persons at risk”"</t>
  </si>
  <si>
    <t>Ljubljana</t>
  </si>
  <si>
    <t>PLAN NACIONAL DE ACTUACIONES PREVENTIVAS DE LOS EFECTOS DEL EXCESO DE TEMPERATURAS SOBRE LA SALUD</t>
  </si>
  <si>
    <t>Ministerio de Sanidad</t>
  </si>
  <si>
    <t>From 1st June to 15th September (+/-1month)</t>
  </si>
  <si>
    <t>National</t>
  </si>
  <si>
    <t>2015: evaluation of period 2004-2014
2017: Pilot Plan using isothermal regions (used parallel with current Plan)</t>
  </si>
  <si>
    <t>Levels 0, 1: information (media, social services, institutions) and monitoring.
Level 2: intensify communication (hospitals and social services), evaluation of specific measures.
Level 3: recommendations to population under risk, evaluation by the Centre of Warnings and Health Emergencies.</t>
  </si>
  <si>
    <t>Several direct actions are delegated to regional and local administrations</t>
  </si>
  <si>
    <t>CATALUNYA</t>
  </si>
  <si>
    <t>Pla d'actuació per prevenir els efectes de les onades de calor sobre la salut (POCS)</t>
  </si>
  <si>
    <t>Agència de Salut Pública de Catalunya (ASPCAT)
Servei Català de la Salut (CatSalut)</t>
  </si>
  <si>
    <t>Each year</t>
  </si>
  <si>
    <t>Level 0;
-Dissemination of information to administration and health sector; and adaptacion of health centers
-Registration of vulnerable people
-Communication to general public about preventive actions.
-Surveillance of mortality and direct actions taken by the health sector
Level 1:
-Dissemination of information to all target groups
Level 2:
- Dissemination of the warning and prevention meassures to administration, general public and social and health care servicies.
- intervention of the health sector on vulnerable people
- activation of emergency servicies</t>
  </si>
  <si>
    <t>Barcelona</t>
  </si>
  <si>
    <t>Pla Clima
Webpage - Onades de Calor - Ayto. Barcelona</t>
  </si>
  <si>
    <t>COMUNIDAD DE MADRID</t>
  </si>
  <si>
    <t>Vigilancia y Control de los Efectos de las Olas de Calor 20211</t>
  </si>
  <si>
    <t xml:space="preserve">Level 0:
- dissemination of information to general public, about heat-related risks, and recommandations
Level 1;
- information on measures to be taken to health sector and administration : health and social services professionals, nursing homes, sports institutions, civil protection.
Level 2:
- same as Level 1
- attention to vulnerable people through the specific action plans of each healt center and administration service
</t>
  </si>
  <si>
    <t>Madrid</t>
  </si>
  <si>
    <t>Melilla</t>
  </si>
  <si>
    <t>REGIÓN DE MURCIA</t>
  </si>
  <si>
    <t>Plan de acciones preventivas contra los efectos del exceso de temperaturas sobre la salud en la Región de Murcia</t>
  </si>
  <si>
    <t>Consejería de Salud - Dirección General de Salud Pública y Adicciones</t>
  </si>
  <si>
    <t>1 Jun - 15 Sep</t>
  </si>
  <si>
    <t>ANDALUCIA</t>
  </si>
  <si>
    <t>PLAN ANDALUZ PARA LA PREVENCIÓN DE LOS EFECTOS DE LAS TEMPERATURAS EXCESIVAS SOBRE LA SALUD 2020</t>
  </si>
  <si>
    <t>Servicio Andaluz de Salud</t>
  </si>
  <si>
    <t>1 de junio hasta el 15 de septiembre</t>
  </si>
  <si>
    <t xml:space="preserve">Level 0:
- information to general public, vulnerable people (including patients recently recovered from an illness in a hospital) and health sector
- update of list and identification of vulnerable people
Level 1:
- after checking of excesive temperature predicted, dissemination of warning and information to target groups
- direct contact through telephone with vulnerable people
Level 2:
-intensification of preventive information to general public and direct meassures to health sector
-surveillance of vulnerable people
Level 3:
-intensification of dissemination of information on warning and preventive action to general public
-strengthening of health sector
-implementation of local action plan (including meassures to reduce heat exposure)
</t>
  </si>
  <si>
    <t>It is up to each county to develop strategies.</t>
  </si>
  <si>
    <t>Stockholm</t>
  </si>
  <si>
    <t>The strategies depend on the cantonal authorities. For instance, in Ticino:
-During the period of health surveillance, from 1 June to 15 September, constant monitoring of the weather.
-In the event of a heat wave: continuous communication with the main partners (Service for the Protection of the Population, Labour Inspectorate
Office, municipalities, homes for the elderly, home care and assistance services, representatives of the world of work) and health monitoring in
collaboration with the emergency department of the Ente Ospedaliero Cantonale</t>
  </si>
  <si>
    <t>Basel-Stadt (main city: Basel)</t>
  </si>
  <si>
    <t>No HHAP, work in progress, development in 2021 [1]</t>
  </si>
  <si>
    <t>Cantonal Department of Health, Medical Services [1]</t>
  </si>
  <si>
    <t>x</t>
  </si>
  <si>
    <t xml:space="preserve">Yes [2] </t>
  </si>
  <si>
    <t xml:space="preserve">In case of a heatwave-alert (by Alert-Swiss) the cantonal Department of Health informs the public with a press communication of the upcoming heatwave and recommandations for behaviour. Vulnerable groups are targeted specifically (in their social environment and through suitable media). Since 2020 availability of a telephone hotline. Hospitals and nursing homes have concepts for heatwaves ready for implementation. [1] No defined action phases yet. </t>
  </si>
  <si>
    <t>Yes [1]</t>
  </si>
  <si>
    <t>Yes [1,2]</t>
  </si>
  <si>
    <t>HHAP in planning, not yet implemented</t>
  </si>
  <si>
    <t>[1] Anpassungen an den Klimawandel Basel-Stadt 2021 Handlungsfelder und Massnahmenplanung:  S.74/75, Handlungsfeld 10, M24+25 ; https://www.bs.ch/dam/jcr:07f9630a-e468-440d-bc96-4358b867db4f/Bericht-Anpassung-an-den-Klimawandel-im-Kanton-Basel-Stadt-2021.pdf</t>
  </si>
  <si>
    <t>[2] Anpassungen an den Klimawandel Basel-Stadt 2021 Handlungsfelder und Massnahmenplanung:  S.79-81, Handlungsfeld 12, M29-31 ; https://www.bs.ch/dam/jcr:07f9630a-e468-440d-bc96-4358b867db4f/Bericht-Anpassung-an-den-Klimawandel-im-Kanton-Basel-Stadt-2021.pdf</t>
  </si>
  <si>
    <t>Bern</t>
  </si>
  <si>
    <t>No HHAP, work in progress, development until the 3rd quarter of 2021 [3]</t>
  </si>
  <si>
    <t>Cantonal medical service [3]</t>
  </si>
  <si>
    <t>Yes, for now only legislative guidelines for the city of Bern [4,5]</t>
  </si>
  <si>
    <t>Yes [3]</t>
  </si>
  <si>
    <t>Yes [3,4]</t>
  </si>
  <si>
    <t>[3] Parlamentarischer Vorstoss Massnahmenplan Hitze, Antwort Regierungsrat (29.01.2020) : S.3-4 ; https://www.rr.be.ch/etc/designs/gr/media.cdwsbinary.RRDOKUMENTE.acq/bbcc9fdec898496e9fd67723fa8674a8-332/9/PDF/2019.RRGR.259-RRB-D-199409.pdf</t>
  </si>
  <si>
    <t>[4] Legislaturrichtlinien Stadt Bern (2021-2024), S.9 ; https://www.bern.ch/politik-und-verwaltung/gemeinderat/legislaturrichtlinien-2021-2024/klimaschutz-und-klimaanpassung/download-lrl/legislaturrichtlinien-2021-2024.pdf/download</t>
  </si>
  <si>
    <t>[5] Adaptationsstrategie Klimawandel  Kanton Bern Grundlagenbericht (2010) : https://www.weu.be.ch/content/dam/weu/dokumente/aue/de/nachhaltige-entwicklung/aue-adaptationsstrategie-klima-grundlagenbericht-de.pdf</t>
  </si>
  <si>
    <t>Geneva</t>
  </si>
  <si>
    <t>Plan canicule [6]</t>
  </si>
  <si>
    <t>Cantonal medical service [6]</t>
  </si>
  <si>
    <t>2005/2006 [6]</t>
  </si>
  <si>
    <t>15th June to 31st August [6]</t>
  </si>
  <si>
    <t>Cantonal [6]</t>
  </si>
  <si>
    <t>Yes [8]</t>
  </si>
  <si>
    <t>No [6,7]</t>
  </si>
  <si>
    <t>Every year [6]</t>
  </si>
  <si>
    <t>Level 1 &amp; 2 (surveillance) : constant monitoring during the active period ; Level 3 (caution) ; Level 4 (heatwave warning): specific warning services for socio-sanitary institutions, partner associations and local authorities via mail/SMS, press communcation of the warning, the health risks and the need for care for people at risk. Some Municipalities have further measures such as: community-based visits to the homes of vulnerable people (Buddy system), distribution of drinking water in public places, transport sevices to cool or air-conditioned places ; Level 5 (crisis) [6,9] (status in 2015) In 2021 MeteoSuisse introduced new heat warning system, no updates found.</t>
  </si>
  <si>
    <t>Yes [7]</t>
  </si>
  <si>
    <t>Yes [7,9]</t>
  </si>
  <si>
    <t>Couldn't find the actual HHAP, unsure if there have been changes in the last 3 years.</t>
  </si>
  <si>
    <r>
      <t>[6] Evaluation kantonaler Hitzemassnahmenpläne 2015: Beschreibung der Massnahmen in Kantonen mit Hitzemassnahmenpläne,</t>
    </r>
    <r>
      <rPr>
        <b/>
        <sz val="11"/>
        <color rgb="FF000000"/>
        <rFont val="Arial"/>
        <family val="2"/>
        <charset val="238"/>
      </rPr>
      <t xml:space="preserve"> </t>
    </r>
    <r>
      <rPr>
        <sz val="11"/>
        <color rgb="FF000000"/>
        <rFont val="Calibri"/>
        <family val="2"/>
        <charset val="238"/>
      </rPr>
      <t>S.19-29 ; https://www.nccs.admin.ch/dam/nccs/de/dokumente/website/sektoren/gesundheit/Evaluation_kantonaler_Hitzemassnahmenplaene_2015.pdf.download.pdf/Evaluation%20kantonaler%20Hitzemassnahmenpl%C3%A4ne%202015%20(Ragettli%20et%20al.%202016).pdf</t>
    </r>
  </si>
  <si>
    <t>[7] Hitzesommer 2018. Auswirkungen auf die Sterblichkeit und kantonale Präventionsmassnahmen: S.13-14 : https://www.nccs.admin.ch/dam/nccs/de/dokumente/website/sektoren/gesundheit/bericht-hitzesommer-2018-ragettli.pdf.download.pdf/Bericht_Hitzesommer%202018_Ragettli%20(2019).pdf</t>
  </si>
  <si>
    <t>[8] Plan climat cantonal Genève (with measures 2021-2023): p. 60, Axe stratégiques 4, Aménagement du territoire, Mesure 4.5 ; https://www.ge.ch/document/24973/telecharger</t>
  </si>
  <si>
    <t>Vaud (main city: Lausanne)</t>
  </si>
  <si>
    <t>Plan canicule cantonal vaudois [10]</t>
  </si>
  <si>
    <t>Direction générale de la santé ; Cantonal medical service [10]</t>
  </si>
  <si>
    <t>2009, updated in 2021 [10]</t>
  </si>
  <si>
    <t>1st June to 31st August [10]</t>
  </si>
  <si>
    <t>Cantonal [10]</t>
  </si>
  <si>
    <t>Yes [11]</t>
  </si>
  <si>
    <t>Yes [7,10]</t>
  </si>
  <si>
    <t>Every year [10]</t>
  </si>
  <si>
    <t>Level 1 (monitoring): constant monitoring of the weather in the active period, advice to partners and population, prevention measures during the summer ; Level 2 (caution): regular contact with MeteoSwiss, state counsil and partner institutions, reinforcement of prevention measures, press communication ; Level 3 (intense or persistent heatwave) activation of heatwave plan: for socio-sanitary institutions and municipalities (with a Buddy-System for vulnerable people), reinforcement of the medical call center, if indicators are rising: measures infra-ORCA (Organisation in the event of disaster), press communication ; Level 4 (severe heatwave/state of emergency): triggering of the heat wave plan of EMCC (cantonal command staff), reinforcement of institutional plans and community-based visits, press communication [10]</t>
  </si>
  <si>
    <t>Yes [10]</t>
  </si>
  <si>
    <t>Public access to the cantonal HHAP, which was updated in 2021</t>
  </si>
  <si>
    <t>[10] Plan canicule cantonal vaudois: https://www.vd.ch/themes/sante-soins-et-handicap/prevention-et-maladies/canicule/  https://www.vd.ch/fileadmin/user_upload/organisation/dsas/DGS/fichiers_pdf/Plan_vaudois_canicule_actualise_2021.pdf</t>
  </si>
  <si>
    <t>[11] Plan climat vaudois (06.2020): S.58-61, Mesures strategiques, Santé, M17.+19. : https://www.vd.ch/fileadmin/user_upload/accueil/fichiers_pdf/2020_juin_actus/Strat%C3%A9gie_du_Conseil_d%E2%80%99%C3%89tat_vaudois_pour_la_protection_du_climat.pdf</t>
  </si>
  <si>
    <t>Ticino (main city: Lugano)</t>
  </si>
  <si>
    <t>Piano cantonale canicola [12]</t>
  </si>
  <si>
    <t xml:space="preserve">Gruppo operativo salute e ambiente (GOSA): Health and Environment task force [12] </t>
  </si>
  <si>
    <t>2004 updated in 2021 [12]</t>
  </si>
  <si>
    <t>1st June to 15th September [13]</t>
  </si>
  <si>
    <t>Cantonal [12]</t>
  </si>
  <si>
    <t>No, until 2023 just mapping of urban heat islands planned [14]</t>
  </si>
  <si>
    <t>No, only real-time surveillance for admissions to emergency units [12]</t>
  </si>
  <si>
    <t>[Level 1/2: constant monitoring of the weather
Level 3/4: continuous communication with the main partners (Service for the Protection of the Population, Labour Inspectorate
Office, municipalities, homes for the elderly, home care and assistance services, representatives of the world of work), health monitoring in
collaboration with the emergency department of the Ente Ospedaliero Cantonale, Buddy-System for vulnerable people, press communication, public call to care for vulnerable people (through mass media), Telephone helpline [12,13]</t>
  </si>
  <si>
    <t>Yes [12,13]</t>
  </si>
  <si>
    <t>Unable to find actual HHAP, but good PP with update on latest changes (2021)</t>
  </si>
  <si>
    <t>[12] Canicola: nuovo concetto e Piano cantonale 2021 (PP) ; https://www3.ti.ch/COMUNICAZIONI/191094/Presentazione%20nuovo%20concetto%20e%20Piano%20cantonale.pdf</t>
  </si>
  <si>
    <t>[13] Canicola e salute (website Canton Ticino): https://www4.ti.ch/dss/dsp/gosa/canicola/canicola-e-salute/canicola-e-salute/</t>
  </si>
  <si>
    <t>[14] Programma di legislatura 2019-2023: p. 31, Obiettivo 10, Azione 10.4 ; p.38/39, Obiettivo 14, Azione 14.2 ; https://www4.ti.ch/fileadmin/CAN/TEMI/LINEE_DIRETTIVE/2019-2023/PdL2019-2023.pdf</t>
  </si>
  <si>
    <t>Luzern</t>
  </si>
  <si>
    <t>No HHAP [15,16]</t>
  </si>
  <si>
    <t>In the canton uf Lucerne only mapping of heat islands is planned [15]. In the city of Lucerne measures are alredy planned [16]</t>
  </si>
  <si>
    <t>Yes [15,16]</t>
  </si>
  <si>
    <t>No, only communication strategy [15,16]</t>
  </si>
  <si>
    <t xml:space="preserve">No HHAP in planning. Measures in case of heatwaves are planned, not yet fully implemented. </t>
  </si>
  <si>
    <t>[15] Klima- und Energiepolitik Kanton Luzern 2021: S.57 4.7.3. Massnahmen Gesundheit: KA-G1 (ab jetzt), KA-G2 (2027-2035), 4.10.3. Massnahmen Raumplanung: KA-R3 (bis 2026) ; https://newsletter.lu.ch/files/SK/Mitteilungen%202021/10_Okt/20211018_B87.pdf</t>
  </si>
  <si>
    <t>[16] Klimaanpassungsstrategie der Stadt Luzern (B+A am 10/20): S.52 Gesundheit 7.4.2 G1-4 -&gt; lediglich Sensibilisierung ; Raumplanung und Bauen S.27, 7.1.2, R+B 1-6 ; Wassermanagment und Naturgefahren, S.33 W+N 4, Grünflächen und Biodiversität, S.35, G+B 2 ;  https://www.stadtluzern.ch/_docn/2611750/B_A_Klimaanpassungstrategie_Stadt_Luzern_2020_05_29.pdf</t>
  </si>
  <si>
    <t>St. Gallen</t>
  </si>
  <si>
    <t>No HHAP, work in progress, from 2022 elaboration of a HHAP [17]</t>
  </si>
  <si>
    <t>Amt für Gesundheitsversorgung (AGVO) :  Cantonal Office for Health Care [17]</t>
  </si>
  <si>
    <t xml:space="preserve">Yes [17, 18] </t>
  </si>
  <si>
    <t>Yes [17]</t>
  </si>
  <si>
    <t>No [17,18]</t>
  </si>
  <si>
    <t>[17] Strategie zur Anpassung an den Klimawandel im Kanton St.Gallen; Bericht der Regierung vom 24. August 2021: p. 59 GM-1 Hitzeaktionsplan, RE-1 Raumplanerische Mssnahmen gegen Hitze ; https://www.ratsinfo.sg.ch/geschaefte/5234#documents</t>
  </si>
  <si>
    <t>[18] Stadtklima St.Gallen - Fachbericht zur Hitzeminderung : https://www.stadt.sg.ch/home/raum-umwelt/umwelt-nachhaltigkeit/stadtklima/_jcr_content/Par/stsg_downloadlist/DownloadListPar/stsg_download.ocFile/P%20Stadtklima%20Bericht%20Version%204.2.pdf</t>
  </si>
  <si>
    <t>Zürich</t>
  </si>
  <si>
    <t>No HAAP, but measures are already implemented or in planning [19]</t>
  </si>
  <si>
    <t xml:space="preserve">Cantonal medical sevice, Prevention and Health Promotion Office of the Canton of Zurich [19]
</t>
  </si>
  <si>
    <t>2018 [19]</t>
  </si>
  <si>
    <t>Cantonal [19]</t>
  </si>
  <si>
    <t>Yes [20,21]</t>
  </si>
  <si>
    <t>Yes [19]</t>
  </si>
  <si>
    <t>Yes [19,22]</t>
  </si>
  <si>
    <t>No [19]</t>
  </si>
  <si>
    <t>No HHAP in planning, some measures already implemented, some in planning</t>
  </si>
  <si>
    <t>[19] Kanton Zürich - Massnahmenplan Anpassung an den Klimawandel (2018): p.83-95, 4.5 Gesundheitsrisiken, Bestehende Aktivitäten + Neue Massnahmen ;  https://www.zh.ch/content/dam/zhweb/bilder-dokumente/themen/umwelt-tiere/klima/massnahmenplaene/massnahmenplan_anpassung.pdf</t>
  </si>
  <si>
    <t>[20] Kanton Zürich, Massnahmehn gegen Hitze : https://www.zh.ch/de/umwelt-tiere/klima/hitze-im-siedlungsraum/massnahmen-gegen-hitze.html</t>
  </si>
  <si>
    <t>[21] Kanton Zürich - Massnahmenplan Anpassung an den Klimawandel (2018): p. 62-82, 4.4 Lokalklima und Energie, Bestehende Aktivitäten + Neue Massnahmen ; https://www.zh.ch/content/dam/zhweb/bilder-dokumente/themen/umwelt-tiere/klima/massnahmenplaene/massnahmenplan_anpassung.pdf</t>
  </si>
  <si>
    <t>Neuchâtel</t>
  </si>
  <si>
    <t>Procédure pour le déclenchement du plan «canicules» [6,23]</t>
  </si>
  <si>
    <t>Cantonal medical service in coordination with "Organisation of Crisis and Disaster Management of the Canton of Neuchâtel" (ORCCAN) [6,23]</t>
  </si>
  <si>
    <t>2008, heatwave warning updated in 2021 [6,24]</t>
  </si>
  <si>
    <t>Not specified, monitoring by MeteoSwiss and in close collaboration with Canton Vaud and Genève [6,23]</t>
  </si>
  <si>
    <t>Cantonal [6,23]</t>
  </si>
  <si>
    <t>Yes [25]</t>
  </si>
  <si>
    <t>No, but data from the Canton Vaud is consulted [6,7]</t>
  </si>
  <si>
    <t>Level 1: constant monitoring, Level 2: get in contact with with Canton Vaud and Genève, heatwave warning: Cantonal medical service informs ORCCAN, specific warning services for socio-sanitary institutions (emergency services, hospitals, ...) via mail, press communication of heatwave and health risks, real-time surveillance of the data of Canton Vaud, Level 3/4 (Intervention): municipalities are informed to identify people at risk and to monitor their wellbeing, measures in the health care sector (ambulance, emergency units, retirement homes,...)  [6,23,24]</t>
  </si>
  <si>
    <t>Yes [6,23]</t>
  </si>
  <si>
    <t>Yes [24,25]</t>
  </si>
  <si>
    <t>Yes [6,23,24]</t>
  </si>
  <si>
    <t>New measures for the HHAP are in planning (Plan climat cantonal) for the time period 2022-2026. [24]</t>
  </si>
  <si>
    <t>[23] Canton de Neuchâtel, ORCCAN: Procédure pour le déclenchement du plan "Canicules", edition 06/2011 (HHAP, not publicly accessible)</t>
  </si>
  <si>
    <t>[24] Website Canton de Neuchâtel, Fortes chaleurs et canicule : https://www.ne.ch/autorites/DFS/SCSP/medecin-cantonal/Pages/Canicule.aspx</t>
  </si>
  <si>
    <t>[25] Plan climat cantonal Neuchâtel (2021): p. 40-41, 5.3.1. Accenuation des fortes chaleurs, A1+A2 ; https://www.ne.ch/autorites/DDTE/agenda21/Documents/2021_02_18_PlanClimatNE_RapportConsultation.pdf</t>
  </si>
  <si>
    <t>Wallis</t>
  </si>
  <si>
    <t>Hitzewellenplan für den kanton Wallis [26]</t>
  </si>
  <si>
    <t>2013, updated in 2021 [6,26]</t>
  </si>
  <si>
    <t>Not specified, MeteoSwiss alerts the canton in case of an upcoming heatwave. [6] Increased vigilance from mid of Juin [26]</t>
  </si>
  <si>
    <t>Cantonal [6,26]</t>
  </si>
  <si>
    <t>No, cantonal climate plan elaborated in 2021, is presented to State Council in 2022 [27]</t>
  </si>
  <si>
    <t>No [7,26]</t>
  </si>
  <si>
    <t>Level 1 (observation): no warning, monitoring (MeteoSwiss sends 7-day-prognosis to the cantonal medical service) ; Level 2 (warning) : no measures taken yet ; Level 3 (persistent heatwave): get in contact with MeteoSwiss for evaluation of the situation, if worrying increased vigilance and communication with institutional partners concerning heat (via mail), daily reevaluation ; Level 4 (severe heatwave): get in contact with MeteoSwiss for evaluation of the situation, coordination with french speaking cantons, communication with all institutional partners (via mail), press communication, daily reevaluation [26]</t>
  </si>
  <si>
    <t>Yes [26]</t>
  </si>
  <si>
    <t>Updated HHAP in 2021, publicly accessible</t>
  </si>
  <si>
    <t>[26] Hitzewellenplan für den Kanton Wallis (2021) : https://www.vs.ch/documents/40893/3010124/Hitzewelleplan+2021.pdf/6b910467-3d0e-4e12-8f8d-2cbd7cbb8e89?t=1623747851489&amp;v=1.2</t>
  </si>
  <si>
    <t>[27] Klimaplan Wallis Agenda 2030 (website): https://www.vs.ch/de/web/agenda2030/plan-climat</t>
  </si>
  <si>
    <t xml:space="preserve">Fribourg </t>
  </si>
  <si>
    <t>Procédure canicules, Plan d'engagement cantonal "Vagues de chaleur" [6,28]</t>
  </si>
  <si>
    <t>Cantonal medical service in collaboration with Cantonal control body (OCC) [6,28]</t>
  </si>
  <si>
    <t>2008, updated in 2020 [6,28]</t>
  </si>
  <si>
    <t>Not specified, MeteoSwiss alerts the canton in case of an upcoming heatwave [6]</t>
  </si>
  <si>
    <t>Cantonal [28]</t>
  </si>
  <si>
    <t>Yes [30]</t>
  </si>
  <si>
    <t xml:space="preserve">No [7,28], but Implementation is planned [30] </t>
  </si>
  <si>
    <t>Monitoring: surveillance of the prognosis by MeteoSwiss, if heatwave is predicted, get in contact with other french-speaking cantons to evaluate the situation. [6] In case of heatwave warning: communication about the heatwave,  health risks and the need for support of people at risk via website and the press, involvement of Cantonal control body (OCC) which activates the heatwave hotline, evaluates measures of constraint (close schools, limit public events, limit workinmg hours etc.) and gives instructions to the other institutional bodies. Municipalities: monitoring of people at risk, distribution of drinking water. Sanitary control body (OCS): increase sanaitary capacity, help municipalties with monitoring of people at risk and increased home visits. [28] No plan of action phases found.</t>
  </si>
  <si>
    <t>Yes [28,29]</t>
  </si>
  <si>
    <t>Yes [29,30]</t>
  </si>
  <si>
    <t>[28] Plan d'engagement cantonal "Vagues de chaleur" (2020) : https://www.fr.ch/sites/default/files/2020-08/Plan%20eng_Vagues%20chaleur_internet_200818_f_1.pdf</t>
  </si>
  <si>
    <t>[29] Website État de Fribourg, Canicule (Santé -&gt; Prévention et promotion &amp; Police et sécurité, Protection de la population) : https://www.fr.ch/sante/prevention-et-promotion/canicule &amp; https://www.fr.ch/police-et-securite/protection-de-la-population/canicule</t>
  </si>
  <si>
    <t>[30] Plan climat cantonal : Stratégies et plan de mesures 2021-2026 (2020): p.63-68, Catalogue de mesures de l'axe "S" Territoire et société, S.1.1-1.4, 2.1, 4.1, 4.3, 5.1, 5.2, 5.6 ; p.78-80, axe "E" Énergie et bâtiments, E1.2, 2.3, 2.4, 4.1 ; p.91 axe "T" transversal, T6.1 ; https://www.fr.ch/sites/default/files/2020-10/fr_PLA_plan_climat_consultation_2020.pdf</t>
  </si>
  <si>
    <t>Heatwave plan for England (for 2017)</t>
  </si>
  <si>
    <t>Public Health England</t>
  </si>
  <si>
    <t>1st June to 15th September</t>
  </si>
  <si>
    <t>From long-term planning for severe heat, through summer and heatwave preparedness, to a major national emergency. Social and healthcare services target specific actions at high-risk groups.
Potential discontinuation of public or sporting events, closure of schools, provision of local cool centers, reduce urban heat &amp; deteriorating air quality by minimizing unnecessary transport and energy use.
Implications for trains: staged preventative measures at 22 °C, extreme precautions at 36 °C, measures to prevent track buckling.Bottled water supply.</t>
  </si>
  <si>
    <t>Total</t>
  </si>
  <si>
    <t>LITHUANIA</t>
  </si>
  <si>
    <t>1. Agreement on a lead body
and clear definition of
actors’ responsibilities</t>
  </si>
  <si>
    <t xml:space="preserve">Clearly defined lead body </t>
  </si>
  <si>
    <t>Involvement of &gt; 1 other agencies</t>
  </si>
  <si>
    <t>Regular meetings and/or
reviews</t>
  </si>
  <si>
    <t>Inclusion in national disaster
preparedness</t>
  </si>
  <si>
    <t>Cross-border cooperation</t>
  </si>
  <si>
    <t>Quality (0=no measures, 1=1 measure, 2=2measures)</t>
  </si>
  <si>
    <t>2. Accurate and timely alert
systems</t>
  </si>
  <si>
    <t>Threshold based on climatological/meteorological studies</t>
  </si>
  <si>
    <t>Thresholds based on epidemiological studies</t>
  </si>
  <si>
    <t>Thresholds based on &gt;= 2 heat indexes</t>
  </si>
  <si>
    <t>Thresholds based on duration of the heat wave</t>
  </si>
  <si>
    <t>Regionally adapted
definitions</t>
  </si>
  <si>
    <t>Warning is issued well in
advance</t>
  </si>
  <si>
    <t>Different alert levels</t>
  </si>
  <si>
    <t>Alert is communicated
following a clear plan</t>
  </si>
  <si>
    <t>Quality (0=no measures, 1=1-3 measure, 2= 4-5 measures)</t>
  </si>
  <si>
    <t>3. Health information plan</t>
  </si>
  <si>
    <t>Clearly defined actors/
recipients/contents</t>
  </si>
  <si>
    <t>Effective dissemination of
information (&gt; 1 channel)</t>
  </si>
  <si>
    <t xml:space="preserve">Quality of advice </t>
  </si>
  <si>
    <t>Public &amp; professionals
addressed</t>
  </si>
  <si>
    <t>Appropriate timing of
information campaign</t>
  </si>
  <si>
    <t>Quality (0=no measures, 1=1-2 measure, 2= &gt;2measures)</t>
  </si>
  <si>
    <t>4. Reduction in indoor heat
exposure</t>
  </si>
  <si>
    <t xml:space="preserve">Giving advice </t>
  </si>
  <si>
    <t>Providing cool rooms/
spaces/fresh water</t>
  </si>
  <si>
    <t>Provision or use of mobile
coolers</t>
  </si>
  <si>
    <t>Planning or support for
increased albedo or
shading</t>
  </si>
  <si>
    <t>Planning or support for
better insulation</t>
  </si>
  <si>
    <t>Quality (0=no measures, 1=measures)</t>
  </si>
  <si>
    <t>5. Particular care for
vulnerable groups</t>
  </si>
  <si>
    <t>Identification of relevant
groups (&gt; 1)</t>
  </si>
  <si>
    <t>Activation of a telephone
service</t>
  </si>
  <si>
    <t>Specific measures</t>
  </si>
  <si>
    <t>Regular re-assessment of
vulnerable population
groups</t>
  </si>
  <si>
    <t>Information and training for
caregivers</t>
  </si>
  <si>
    <t>Quality (0=no measures, 1=1-2 measure, 2= 3-4measures)</t>
  </si>
  <si>
    <t>6. Preparedness of the health/
social care system</t>
  </si>
  <si>
    <t>Different levels of action</t>
  </si>
  <si>
    <t>Increase of capacity of
health services</t>
  </si>
  <si>
    <t>Heat reduction in healthcare
facilities</t>
  </si>
  <si>
    <t>Special precautions in
nursing homes</t>
  </si>
  <si>
    <t>Special resources for
patients/public</t>
  </si>
  <si>
    <t>Improving health-care
networks</t>
  </si>
  <si>
    <t>Quality (0=no measures, 1=1 measure, 2= 2-3measures)</t>
  </si>
  <si>
    <t>7. Long-term urban planning
Increased green &amp; blue
spaces</t>
  </si>
  <si>
    <t>8. Real-time surveillance and
evaluation</t>
  </si>
  <si>
    <t xml:space="preserve">Less than 48-h interval </t>
  </si>
  <si>
    <t>Involving data from &gt; 1
region/city</t>
  </si>
  <si>
    <t>Involving data from &gt; 1
health effect</t>
  </si>
  <si>
    <t>Use for adjustment of
measures</t>
  </si>
  <si>
    <t>Use for evaluation of
effectiveness</t>
  </si>
  <si>
    <t>TOTAL</t>
  </si>
  <si>
    <t>Weight</t>
  </si>
  <si>
    <t>1. Agreement on a lead body
and clear definition of
actors’ responsibilities (/2)</t>
  </si>
  <si>
    <t>2. Accurate and timely alert
systems (/7)</t>
  </si>
  <si>
    <t>3. Health information plan (/7)</t>
  </si>
  <si>
    <t>4. Reduction in indoor heat
exposure (/4)</t>
  </si>
  <si>
    <t>5. Particular care for
vulnerable groups (/8)</t>
  </si>
  <si>
    <t>6. Preparedness of the health/
social care system (/9)</t>
  </si>
  <si>
    <t>stand. Score</t>
  </si>
  <si>
    <t>stand.score.max</t>
  </si>
  <si>
    <t>CLASS</t>
  </si>
  <si>
    <t>CLASS(B)</t>
  </si>
  <si>
    <t>CZECHIA</t>
  </si>
  <si>
    <t>WEIGHT</t>
  </si>
  <si>
    <t>WEIGHT (survey)</t>
  </si>
  <si>
    <t>MEASURE</t>
  </si>
  <si>
    <t>what is important is clear definition of the actor's responsabilities</t>
  </si>
  <si>
    <t>0 = 0</t>
  </si>
  <si>
    <t>1 = 4</t>
  </si>
  <si>
    <t>2 = 18</t>
  </si>
  <si>
    <t>depend on the countries, sometimes 1 agency is enough INTERDISCIPLINARIRY</t>
  </si>
  <si>
    <t>0 = 2</t>
  </si>
  <si>
    <t>1 = 10</t>
  </si>
  <si>
    <t>2 = 10</t>
  </si>
  <si>
    <t>Regular meetings and/or reviews</t>
  </si>
  <si>
    <t>0 = 1</t>
  </si>
  <si>
    <t>1 = 16</t>
  </si>
  <si>
    <t>2 = 5</t>
  </si>
  <si>
    <t>Inclusion in nationaldisaster preparedness</t>
  </si>
  <si>
    <t>1 = 9</t>
  </si>
  <si>
    <t>2 = 13</t>
  </si>
  <si>
    <t>Cross-bordercooperation</t>
  </si>
  <si>
    <t>0 = 7</t>
  </si>
  <si>
    <t>1 = 12</t>
  </si>
  <si>
    <t>2 = 3</t>
  </si>
  <si>
    <t>collaboration of met office and health system</t>
  </si>
  <si>
    <t>0 = 3</t>
  </si>
  <si>
    <t>1 = 8</t>
  </si>
  <si>
    <t>2 = 11</t>
  </si>
  <si>
    <t>1 = 5</t>
  </si>
  <si>
    <t>2 = 17</t>
  </si>
  <si>
    <t>not necessary, allows to refine the messages. Not to estmate mortality. Modify to not only average temperature</t>
  </si>
  <si>
    <t>0 = 5</t>
  </si>
  <si>
    <t>2 = 12</t>
  </si>
  <si>
    <t>accurate=/= timely appropriate</t>
  </si>
  <si>
    <t>2 = 15</t>
  </si>
  <si>
    <t>1 = 6</t>
  </si>
  <si>
    <t>2 = 16</t>
  </si>
  <si>
    <t>important, information targeted for different population</t>
  </si>
  <si>
    <t>1 = 2</t>
  </si>
  <si>
    <t>2 = 19</t>
  </si>
  <si>
    <t>1 = 7</t>
  </si>
  <si>
    <t>2 = 14</t>
  </si>
  <si>
    <t>chris boyer</t>
  </si>
  <si>
    <t>cboyer10@uw.edu</t>
  </si>
  <si>
    <t>Jshumake-guillemot@wmo.int</t>
  </si>
  <si>
    <t>1 = 13</t>
  </si>
  <si>
    <t>2 = 6</t>
  </si>
  <si>
    <t>Planning or support forincreased albedo orshading</t>
  </si>
  <si>
    <t>2 = 7</t>
  </si>
  <si>
    <t>Planning or support forbetter insulation</t>
  </si>
  <si>
    <t>1 = 1</t>
  </si>
  <si>
    <t>1 = 11</t>
  </si>
  <si>
    <t>2 = 8</t>
  </si>
  <si>
    <t>2 =7</t>
  </si>
  <si>
    <t>important, increase the score</t>
  </si>
  <si>
    <t>training for health professionals</t>
  </si>
  <si>
    <t>2 = 9</t>
  </si>
  <si>
    <t>Increased green &amp; blue spaces</t>
  </si>
  <si>
    <t>0=3</t>
  </si>
  <si>
    <t>1=4</t>
  </si>
  <si>
    <t>2=15</t>
  </si>
  <si>
    <t>Changes in building design (albebo, insulation, passive cooling)</t>
  </si>
  <si>
    <t>0=2</t>
  </si>
  <si>
    <t>1=6</t>
  </si>
  <si>
    <t>2=14</t>
  </si>
  <si>
    <t>Changes in land use</t>
  </si>
  <si>
    <t>1=3</t>
  </si>
  <si>
    <t>2=10</t>
  </si>
  <si>
    <t>Energy consumption reduction</t>
  </si>
  <si>
    <t>1=9</t>
  </si>
  <si>
    <t>Individual and public transport policies</t>
  </si>
  <si>
    <t>0=5</t>
  </si>
  <si>
    <t>2=8</t>
  </si>
  <si>
    <t>2 issues : near real time surveillance (low score because comes too late), quality of data, impact of subpopulation and how is it used</t>
  </si>
  <si>
    <t>Less than 48-h interval</t>
  </si>
  <si>
    <t>evaluation : evaluate accurency, impact, collaboration, etc, so very different</t>
  </si>
  <si>
    <t>0=0</t>
  </si>
  <si>
    <t>1=10</t>
  </si>
  <si>
    <t>2=12</t>
  </si>
  <si>
    <t>Involving data from &gt; 1region/city</t>
  </si>
  <si>
    <t>0=1</t>
  </si>
  <si>
    <t>1=11</t>
  </si>
  <si>
    <t>Involving data from &gt; 1health effect</t>
  </si>
  <si>
    <t>1=13</t>
  </si>
  <si>
    <t>Use for adjustment ofmeasures</t>
  </si>
  <si>
    <t>2=9</t>
  </si>
  <si>
    <t>Use for evaluation of effectiveness</t>
  </si>
  <si>
    <t>2=11</t>
  </si>
  <si>
    <t>According to WHO/WMO guidance, core elements for the successful implementation of heat–health action plans are:</t>
  </si>
  <si>
    <t>10 (83,3%)</t>
  </si>
  <si>
    <t>12 (100 %)</t>
  </si>
  <si>
    <t>6 (50 %)</t>
  </si>
  <si>
    <t>10 (83,3 %)</t>
  </si>
  <si>
    <t>11 (91,7 %)</t>
  </si>
  <si>
    <t>7 (58,3 %)</t>
  </si>
  <si>
    <t xml:space="preserve">Rank the core elements according to its importance in reduction of heat-related mortality and morbidity </t>
  </si>
  <si>
    <t>weights</t>
  </si>
  <si>
    <t>the most important</t>
  </si>
  <si>
    <t>least important</t>
  </si>
  <si>
    <t xml:space="preserve">Rank the core elements according to its cost-efficiency </t>
  </si>
  <si>
    <t>Is there another important element which is missing?</t>
  </si>
  <si>
    <t>answers</t>
  </si>
  <si>
    <t>NO (5x)</t>
  </si>
  <si>
    <t>The need of recognition and adequate responses to heat/cold warnings from the local authorities, medical counterpart and civil defense entities.</t>
  </si>
  <si>
    <t>Reduction of OUTDOOR heat exposure (e.g. workers in construction sector and agriculture)</t>
  </si>
  <si>
    <t>Also look at behaviour change and perception. And determine what the GOAL is for the HHAP. Is it to minimize mortality? Or works the plan correctly if information is timely send and the actions reaches the target groups</t>
  </si>
  <si>
    <t>Desing and building of new hospitals and care homes for elderly</t>
  </si>
  <si>
    <t>interdepartmental collaboration and clear definition of institutions and entiies involved and cleare definition of roles.</t>
  </si>
  <si>
    <t>Quastionnaire</t>
  </si>
  <si>
    <t xml:space="preserve">https://docs.google.com/forms/d/1kRRQf2Jc4emIi2XYXBS9tmGyD2E0Mkv4K6ZFcu3zEw8/edit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</si>
</sst>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Calibri"/>
      <family val="2"/>
      <charset val="238"/>
    </font>
    <font>
      <sz val="11"/>
      <color rgb="FF000000"/>
      <name val="Calibri"/>
      <family val="2"/>
      <charset val="238"/>
    </font>
    <font>
      <u/>
      <sz val="11"/>
      <color rgb="FF0563C1"/>
      <name val="Calibri"/>
      <family val="2"/>
      <charset val="238"/>
    </font>
    <font>
      <sz val="10"/>
      <color rgb="FF000000"/>
      <name val="Arial"/>
      <family val="2"/>
      <charset val="238"/>
    </font>
    <font>
      <sz val="12"/>
      <color rgb="FF000000"/>
      <name val="Verdana"/>
      <family val="2"/>
      <charset val="238"/>
    </font>
    <font>
      <b/>
      <sz val="12"/>
      <color rgb="FF000000"/>
      <name val="Verdana"/>
      <family val="2"/>
      <charset val="238"/>
    </font>
    <font>
      <u/>
      <sz val="12"/>
      <color rgb="FF1155CC"/>
      <name val="Verdana"/>
      <family val="2"/>
      <charset val="238"/>
    </font>
    <font>
      <i/>
      <sz val="12"/>
      <color rgb="FFFF0000"/>
      <name val="Verdana"/>
      <family val="2"/>
      <charset val="238"/>
    </font>
    <font>
      <b/>
      <sz val="11"/>
      <color rgb="FF000000"/>
      <name val="Arial"/>
      <family val="2"/>
      <charset val="238"/>
    </font>
    <font>
      <b/>
      <sz val="10"/>
      <color rgb="FF000000"/>
      <name val="Verdana"/>
      <family val="2"/>
      <charset val="238"/>
    </font>
    <font>
      <sz val="10"/>
      <color rgb="FF000000"/>
      <name val="Roboto"/>
      <charset val="238"/>
    </font>
    <font>
      <sz val="10"/>
      <color rgb="FF222222"/>
      <name val="Arial"/>
      <family val="2"/>
      <charset val="238"/>
    </font>
    <font>
      <b/>
      <sz val="10"/>
      <color rgb="FF000000"/>
      <name val="Arial"/>
      <family val="2"/>
      <charset val="238"/>
    </font>
    <font>
      <sz val="6"/>
      <color rgb="FF000000"/>
      <name val="Arial"/>
      <family val="2"/>
      <charset val="238"/>
    </font>
    <font>
      <u/>
      <sz val="6"/>
      <color rgb="FF1155CC"/>
      <name val="Arial"/>
      <family val="2"/>
      <charset val="238"/>
    </font>
    <font>
      <i/>
      <sz val="12"/>
      <color rgb="FFFF0000"/>
      <name val="Arial"/>
      <family val="2"/>
      <charset val="238"/>
    </font>
    <font>
      <sz val="10"/>
      <color rgb="FF000000"/>
      <name val="Verdana"/>
      <family val="2"/>
      <charset val="238"/>
    </font>
    <font>
      <u/>
      <sz val="10"/>
      <color rgb="FF1155CC"/>
      <name val="Verdana"/>
      <family val="2"/>
      <charset val="238"/>
    </font>
    <font>
      <sz val="11"/>
      <color rgb="FF000000"/>
      <name val="Arial"/>
      <family val="2"/>
      <charset val="238"/>
    </font>
    <font>
      <b/>
      <sz val="11"/>
      <color rgb="FF000000"/>
      <name val="Calibri"/>
      <family val="2"/>
      <charset val="238"/>
    </font>
  </fonts>
  <fills count="19">
    <fill>
      <patternFill patternType="none"/>
    </fill>
    <fill>
      <patternFill patternType="gray125"/>
    </fill>
    <fill>
      <patternFill patternType="solid">
        <fgColor rgb="FFD9E1F2"/>
        <bgColor rgb="FFD9E1F2"/>
      </patternFill>
    </fill>
    <fill>
      <patternFill patternType="solid">
        <fgColor rgb="FFE2EFDA"/>
        <bgColor rgb="FFE2EFDA"/>
      </patternFill>
    </fill>
    <fill>
      <patternFill patternType="solid">
        <fgColor rgb="FFF3F3F3"/>
        <bgColor rgb="FFF3F3F3"/>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EAD1DC"/>
        <bgColor rgb="FFEAD1DC"/>
      </patternFill>
    </fill>
    <fill>
      <patternFill patternType="solid">
        <fgColor rgb="FFD9D2E9"/>
        <bgColor rgb="FFD9D2E9"/>
      </patternFill>
    </fill>
    <fill>
      <patternFill patternType="solid">
        <fgColor rgb="FFFFFF00"/>
        <bgColor rgb="FFFFFF00"/>
      </patternFill>
    </fill>
    <fill>
      <patternFill patternType="solid">
        <fgColor rgb="FF8E7CC3"/>
        <bgColor rgb="FF8E7CC3"/>
      </patternFill>
    </fill>
    <fill>
      <patternFill patternType="solid">
        <fgColor rgb="FFFFFFFF"/>
        <bgColor rgb="FFFFFFFF"/>
      </patternFill>
    </fill>
    <fill>
      <patternFill patternType="solid">
        <fgColor rgb="FFF8CBAD"/>
        <bgColor rgb="FFF8CBAD"/>
      </patternFill>
    </fill>
    <fill>
      <patternFill patternType="solid">
        <fgColor rgb="FFB4C6E7"/>
        <bgColor rgb="FFB4C6E7"/>
      </patternFill>
    </fill>
    <fill>
      <patternFill patternType="solid">
        <fgColor rgb="FFFFC000"/>
        <bgColor rgb="FFFFC000"/>
      </patternFill>
    </fill>
    <fill>
      <patternFill patternType="solid">
        <fgColor rgb="FFFCE4D6"/>
        <bgColor rgb="FFFCE4D6"/>
      </patternFill>
    </fill>
    <fill>
      <patternFill patternType="solid">
        <fgColor rgb="FFED7D31"/>
        <bgColor rgb="FFED7D31"/>
      </patternFill>
    </fill>
    <fill>
      <patternFill patternType="solid">
        <fgColor rgb="FF4472C4"/>
        <bgColor rgb="FF4472C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bottom/>
      <diagonal/>
    </border>
    <border>
      <left style="medium">
        <color rgb="FFCCCCCC"/>
      </left>
      <right style="medium">
        <color rgb="FFCCCCCC"/>
      </right>
      <top/>
      <bottom/>
      <diagonal/>
    </border>
  </borders>
  <cellStyleXfs count="7">
    <xf numFmtId="0" fontId="0" fillId="0" borderId="0"/>
    <xf numFmtId="0" fontId="1" fillId="2" borderId="0" applyNumberFormat="0" applyFont="0" applyBorder="0" applyAlignment="0" applyProtection="0"/>
    <xf numFmtId="0" fontId="1" fillId="3" borderId="0" applyNumberFormat="0" applyFont="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1" fillId="0" borderId="0" applyNumberFormat="0" applyFont="0" applyBorder="0" applyProtection="0"/>
    <xf numFmtId="0" fontId="1" fillId="0" borderId="0" applyNumberFormat="0" applyFont="0" applyBorder="0" applyProtection="0"/>
  </cellStyleXfs>
  <cellXfs count="77">
    <xf numFmtId="0" fontId="0" fillId="0" borderId="0" xfId="0"/>
    <xf numFmtId="0" fontId="3" fillId="0" borderId="1" xfId="0" applyFont="1" applyBorder="1" applyAlignment="1">
      <alignment wrapText="1"/>
    </xf>
    <xf numFmtId="0" fontId="3" fillId="0" borderId="1" xfId="0" applyFont="1" applyBorder="1" applyAlignment="1">
      <alignment vertical="top" wrapText="1"/>
    </xf>
    <xf numFmtId="0" fontId="8" fillId="6" borderId="1" xfId="0" applyFont="1" applyFill="1" applyBorder="1" applyAlignment="1">
      <alignment horizontal="center" vertical="top" wrapText="1"/>
    </xf>
    <xf numFmtId="0" fontId="5" fillId="8"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3" fillId="7" borderId="1" xfId="0" applyFont="1" applyFill="1" applyBorder="1" applyAlignment="1">
      <alignment horizontal="center" vertical="top" wrapText="1"/>
    </xf>
    <xf numFmtId="0" fontId="9" fillId="9" borderId="1" xfId="0" applyFont="1" applyFill="1" applyBorder="1" applyAlignment="1">
      <alignment vertical="top" wrapText="1"/>
    </xf>
    <xf numFmtId="0" fontId="3" fillId="10" borderId="1" xfId="0" applyFont="1" applyFill="1" applyBorder="1" applyAlignment="1">
      <alignment vertical="top" wrapText="1"/>
    </xf>
    <xf numFmtId="0" fontId="0" fillId="0" borderId="0" xfId="0" applyAlignment="1">
      <alignment wrapText="1"/>
    </xf>
    <xf numFmtId="0" fontId="9" fillId="11" borderId="1" xfId="0" applyFont="1" applyFill="1" applyBorder="1" applyAlignment="1">
      <alignment vertical="top" wrapText="1"/>
    </xf>
    <xf numFmtId="0" fontId="3" fillId="0" borderId="1" xfId="0" applyFont="1" applyBorder="1" applyAlignment="1">
      <alignment horizontal="right" vertical="top" wrapText="1"/>
    </xf>
    <xf numFmtId="0" fontId="2" fillId="0" borderId="1" xfId="4" applyBorder="1" applyAlignment="1">
      <alignment vertical="top" wrapText="1"/>
    </xf>
    <xf numFmtId="0" fontId="3" fillId="10" borderId="1" xfId="0" applyFont="1" applyFill="1" applyBorder="1" applyAlignment="1">
      <alignment horizontal="right" vertical="top" wrapText="1"/>
    </xf>
    <xf numFmtId="0" fontId="0" fillId="0" borderId="0" xfId="6" applyFont="1" applyAlignment="1">
      <alignment horizontal="center" vertical="top" wrapText="1"/>
    </xf>
    <xf numFmtId="0" fontId="10" fillId="12" borderId="1" xfId="0" applyFont="1" applyFill="1" applyBorder="1" applyAlignment="1">
      <alignment wrapText="1"/>
    </xf>
    <xf numFmtId="0" fontId="11" fillId="12" borderId="1" xfId="0" applyFont="1" applyFill="1" applyBorder="1" applyAlignment="1">
      <alignment vertical="top" wrapText="1"/>
    </xf>
    <xf numFmtId="0" fontId="2" fillId="12" borderId="1" xfId="4" applyFill="1" applyBorder="1" applyAlignment="1">
      <alignment vertical="top" wrapText="1"/>
    </xf>
    <xf numFmtId="0" fontId="11" fillId="12" borderId="1" xfId="0" applyFont="1" applyFill="1" applyBorder="1" applyAlignment="1">
      <alignment horizontal="right" vertical="top" wrapText="1"/>
    </xf>
    <xf numFmtId="0" fontId="2" fillId="12" borderId="1" xfId="4" applyFill="1" applyBorder="1" applyAlignment="1">
      <alignment vertical="center"/>
    </xf>
    <xf numFmtId="0" fontId="12" fillId="0" borderId="1" xfId="0" applyFont="1" applyBorder="1" applyAlignment="1">
      <alignment vertical="top" wrapText="1"/>
    </xf>
    <xf numFmtId="0" fontId="3" fillId="12" borderId="1" xfId="0" applyFont="1" applyFill="1" applyBorder="1" applyAlignment="1">
      <alignment vertical="top" wrapText="1"/>
    </xf>
    <xf numFmtId="0" fontId="3" fillId="9" borderId="1" xfId="0" applyFont="1" applyFill="1" applyBorder="1" applyAlignment="1">
      <alignment vertical="top" wrapText="1"/>
    </xf>
    <xf numFmtId="0" fontId="3" fillId="5" borderId="1" xfId="0" applyFont="1" applyFill="1" applyBorder="1" applyAlignment="1">
      <alignment wrapText="1"/>
    </xf>
    <xf numFmtId="0" fontId="3" fillId="6" borderId="1" xfId="0" applyFont="1" applyFill="1" applyBorder="1" applyAlignment="1">
      <alignment wrapText="1"/>
    </xf>
    <xf numFmtId="0" fontId="3" fillId="6" borderId="2" xfId="0" applyFont="1" applyFill="1" applyBorder="1" applyAlignment="1">
      <alignment wrapText="1"/>
    </xf>
    <xf numFmtId="0" fontId="16" fillId="9" borderId="1" xfId="0" applyFont="1" applyFill="1" applyBorder="1" applyAlignment="1">
      <alignment vertical="top" wrapText="1"/>
    </xf>
    <xf numFmtId="0" fontId="3" fillId="0" borderId="1" xfId="0" applyFont="1" applyBorder="1" applyAlignment="1">
      <alignment vertical="center"/>
    </xf>
    <xf numFmtId="0" fontId="3" fillId="10" borderId="1" xfId="0" applyFont="1" applyFill="1" applyBorder="1" applyAlignment="1">
      <alignment wrapText="1"/>
    </xf>
    <xf numFmtId="0" fontId="17" fillId="0" borderId="1" xfId="0" applyFont="1" applyBorder="1" applyAlignment="1">
      <alignment vertical="top" wrapText="1"/>
    </xf>
    <xf numFmtId="0" fontId="16" fillId="0" borderId="1" xfId="0" applyFont="1" applyBorder="1" applyAlignment="1">
      <alignment vertical="top" wrapText="1"/>
    </xf>
    <xf numFmtId="0" fontId="3" fillId="0" borderId="1" xfId="0" applyFont="1" applyBorder="1" applyAlignment="1">
      <alignment vertical="center" wrapText="1"/>
    </xf>
    <xf numFmtId="0" fontId="3" fillId="0" borderId="1" xfId="0" applyFont="1" applyBorder="1" applyAlignment="1">
      <alignment horizontal="right" wrapText="1"/>
    </xf>
    <xf numFmtId="0" fontId="2" fillId="0" borderId="1" xfId="4" applyBorder="1" applyAlignment="1">
      <alignment vertical="center"/>
    </xf>
    <xf numFmtId="0" fontId="2" fillId="0" borderId="1" xfId="4" applyBorder="1" applyAlignment="1">
      <alignment wrapText="1"/>
    </xf>
    <xf numFmtId="0" fontId="9" fillId="0" borderId="1" xfId="0" applyFont="1" applyBorder="1" applyAlignment="1">
      <alignment vertical="top" wrapText="1"/>
    </xf>
    <xf numFmtId="0" fontId="3" fillId="0" borderId="1" xfId="0" applyFont="1" applyBorder="1" applyAlignment="1">
      <alignment horizontal="left" vertical="top" wrapText="1"/>
    </xf>
    <xf numFmtId="0" fontId="3" fillId="0" borderId="3" xfId="0" applyFont="1" applyBorder="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0" fillId="0" borderId="0" xfId="4" applyFont="1" applyAlignment="1">
      <alignment horizontal="left" vertical="top" wrapText="1"/>
    </xf>
    <xf numFmtId="0" fontId="3" fillId="12" borderId="1" xfId="0" applyFont="1" applyFill="1" applyBorder="1" applyAlignment="1">
      <alignment horizontal="left" vertical="top" wrapText="1"/>
    </xf>
    <xf numFmtId="0" fontId="18" fillId="0" borderId="0" xfId="4" applyFont="1" applyAlignment="1">
      <alignment horizontal="left" vertical="top" wrapText="1"/>
    </xf>
    <xf numFmtId="0" fontId="0" fillId="0" borderId="0" xfId="0" applyAlignment="1">
      <alignment horizontal="left" wrapText="1"/>
    </xf>
    <xf numFmtId="0" fontId="19" fillId="0" borderId="0" xfId="0" applyFont="1"/>
    <xf numFmtId="0" fontId="0" fillId="13" borderId="0" xfId="0" applyFill="1"/>
    <xf numFmtId="0" fontId="19" fillId="0" borderId="0" xfId="0" applyFont="1" applyAlignment="1">
      <alignment wrapText="1"/>
    </xf>
    <xf numFmtId="0" fontId="0" fillId="16" borderId="0" xfId="0" applyFill="1"/>
    <xf numFmtId="0" fontId="9" fillId="9" borderId="2" xfId="0" applyFont="1" applyFill="1" applyBorder="1" applyAlignment="1">
      <alignment vertical="top" wrapText="1"/>
    </xf>
    <xf numFmtId="0" fontId="0" fillId="5" borderId="0" xfId="0" applyFill="1"/>
    <xf numFmtId="0" fontId="0" fillId="17" borderId="0" xfId="0" applyFill="1"/>
    <xf numFmtId="0" fontId="0" fillId="14" borderId="0" xfId="0" applyFill="1"/>
    <xf numFmtId="0" fontId="0" fillId="18" borderId="0" xfId="0" applyFill="1"/>
    <xf numFmtId="0" fontId="0" fillId="10" borderId="0" xfId="0" applyFill="1"/>
    <xf numFmtId="0" fontId="0" fillId="3" borderId="0" xfId="0" applyFill="1"/>
    <xf numFmtId="2" fontId="0" fillId="0" borderId="0" xfId="0" applyNumberFormat="1"/>
    <xf numFmtId="0" fontId="0" fillId="15" borderId="0" xfId="0" applyFill="1"/>
    <xf numFmtId="0" fontId="2" fillId="0" borderId="0" xfId="4"/>
    <xf numFmtId="0" fontId="0" fillId="5" borderId="0" xfId="0" applyFill="1" applyAlignment="1">
      <alignment horizontal="right"/>
    </xf>
    <xf numFmtId="0" fontId="19" fillId="5" borderId="0" xfId="0" applyFont="1" applyFill="1"/>
    <xf numFmtId="0" fontId="19" fillId="0" borderId="0" xfId="0" applyFont="1" applyAlignment="1">
      <alignment vertical="center" wrapText="1"/>
    </xf>
    <xf numFmtId="0" fontId="2" fillId="0" borderId="0" xfId="3"/>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top" wrapText="1"/>
    </xf>
    <xf numFmtId="0" fontId="8" fillId="5" borderId="1" xfId="0" applyFont="1" applyFill="1" applyBorder="1" applyAlignment="1">
      <alignment horizontal="center" vertical="top" wrapText="1"/>
    </xf>
    <xf numFmtId="0" fontId="8" fillId="7" borderId="1" xfId="0" applyFont="1" applyFill="1" applyBorder="1" applyAlignment="1">
      <alignment horizontal="center" vertical="top" wrapText="1"/>
    </xf>
    <xf numFmtId="0" fontId="8" fillId="4" borderId="1" xfId="0" applyFont="1" applyFill="1" applyBorder="1" applyAlignment="1">
      <alignment vertical="center" wrapText="1"/>
    </xf>
    <xf numFmtId="0" fontId="4" fillId="4" borderId="1" xfId="0" applyFont="1" applyFill="1" applyBorder="1" applyAlignment="1">
      <alignment horizontal="center" vertical="top" wrapText="1"/>
    </xf>
    <xf numFmtId="0" fontId="15" fillId="4" borderId="1" xfId="0" applyFont="1" applyFill="1" applyBorder="1" applyAlignment="1">
      <alignment horizontal="center" wrapText="1"/>
    </xf>
    <xf numFmtId="0" fontId="8" fillId="5" borderId="1" xfId="0" applyFont="1" applyFill="1" applyBorder="1" applyAlignment="1">
      <alignment wrapText="1"/>
    </xf>
    <xf numFmtId="0" fontId="8" fillId="6" borderId="1" xfId="0" applyFont="1" applyFill="1" applyBorder="1" applyAlignment="1">
      <alignment wrapText="1"/>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horizontal="left" wrapText="1"/>
    </xf>
    <xf numFmtId="0" fontId="0" fillId="5" borderId="0" xfId="0" applyFill="1" applyAlignment="1">
      <alignment horizontal="right" vertical="center"/>
    </xf>
    <xf numFmtId="0" fontId="19" fillId="0" borderId="0" xfId="0" applyFont="1" applyAlignment="1">
      <alignment horizontal="left" wrapText="1"/>
    </xf>
  </cellXfs>
  <cellStyles count="7">
    <cellStyle name="20 % – Zvýraznění 1 2" xfId="1" xr:uid="{777105E8-3629-4F82-B4ED-0DBC730D5383}"/>
    <cellStyle name="20 % – Zvýraznění 6 2" xfId="2" xr:uid="{BA810355-85DF-4DDA-A69D-8765ECA2D546}"/>
    <cellStyle name="Hypertextový odkaz" xfId="3" xr:uid="{19D8B2AB-03BD-407B-89D0-D469EE60963A}"/>
    <cellStyle name="Lien hypertexte" xfId="4" xr:uid="{421D3BCA-B45E-40FA-8179-65EC99A6A619}"/>
    <cellStyle name="Normal" xfId="0" builtinId="0" customBuiltin="1"/>
    <cellStyle name="Normal 2" xfId="6" xr:uid="{DF55AE03-C0FF-441D-9FA6-D98464632D59}"/>
    <cellStyle name="Normální 2" xfId="5" xr:uid="{696E0172-C25C-4FA0-840A-1839DF782F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lIns="0" tIns="0" rIns="0" bIns="0"/>
          <a:lstStyle/>
          <a:p>
            <a:pPr marL="0" marR="0" indent="0" algn="ctr" defTabSz="914400" fontAlgn="auto" hangingPunct="1">
              <a:lnSpc>
                <a:spcPct val="100000"/>
              </a:lnSpc>
              <a:spcBef>
                <a:spcPts val="0"/>
              </a:spcBef>
              <a:spcAft>
                <a:spcPts val="0"/>
              </a:spcAft>
              <a:tabLst/>
              <a:defRPr lang="en-US" sz="1080" b="1" i="0" u="none" strike="noStrike" kern="1200" baseline="0">
                <a:solidFill>
                  <a:srgbClr val="000000"/>
                </a:solidFill>
                <a:latin typeface="Calibri"/>
              </a:defRPr>
            </a:pPr>
            <a:r>
              <a:rPr lang="en-US" sz="1080" b="1" i="0" u="none" strike="noStrike" kern="1200" cap="none" spc="0" baseline="0">
                <a:solidFill>
                  <a:srgbClr val="000000"/>
                </a:solidFill>
                <a:uFillTx/>
                <a:latin typeface="Calibri"/>
              </a:rPr>
              <a:t>Total HPP score</a:t>
            </a:r>
          </a:p>
        </c:rich>
      </c:tx>
      <c:overlay val="0"/>
      <c:spPr>
        <a:noFill/>
        <a:ln>
          <a:noFill/>
        </a:ln>
      </c:spPr>
    </c:title>
    <c:autoTitleDeleted val="0"/>
    <c:plotArea>
      <c:layout/>
      <c:barChart>
        <c:barDir val="bar"/>
        <c:grouping val="stacked"/>
        <c:varyColors val="0"/>
        <c:ser>
          <c:idx val="0"/>
          <c:order val="0"/>
          <c:tx>
            <c:strRef>
              <c:f>'Final HPP classification'!$U$1:$U$1</c:f>
              <c:strCache>
                <c:ptCount val="1"/>
                <c:pt idx="0">
                  <c:v>1. Agreement on a lead body
and clear definition of
actors’ responsibilities (/2)</c:v>
                </c:pt>
              </c:strCache>
            </c:strRef>
          </c:tx>
          <c:spPr>
            <a:gradFill>
              <a:gsLst>
                <a:gs pos="0">
                  <a:srgbClr val="71A6DB"/>
                </a:gs>
                <a:gs pos="100000">
                  <a:srgbClr val="559BDB"/>
                </a:gs>
              </a:gsLst>
              <a:lin ang="5400000"/>
            </a:gradFill>
            <a:ln>
              <a:noFill/>
            </a:ln>
          </c:spPr>
          <c:invertIfNegative val="0"/>
          <c:cat>
            <c:strRef>
              <c:f>'Final HPP classification'!$T$2:$T$15</c:f>
              <c:strCache>
                <c:ptCount val="14"/>
                <c:pt idx="0">
                  <c:v>SWEDEN</c:v>
                </c:pt>
                <c:pt idx="1">
                  <c:v>FINLAND</c:v>
                </c:pt>
                <c:pt idx="2">
                  <c:v>POLAND</c:v>
                </c:pt>
                <c:pt idx="3">
                  <c:v>CZECHIA</c:v>
                </c:pt>
                <c:pt idx="4">
                  <c:v>NETHERLANDS</c:v>
                </c:pt>
                <c:pt idx="5">
                  <c:v>ROMANIA</c:v>
                </c:pt>
                <c:pt idx="6">
                  <c:v>SERBIA</c:v>
                </c:pt>
                <c:pt idx="7">
                  <c:v>SWITZERLAND</c:v>
                </c:pt>
                <c:pt idx="8">
                  <c:v>ITALY</c:v>
                </c:pt>
                <c:pt idx="9">
                  <c:v>GERMANY</c:v>
                </c:pt>
                <c:pt idx="10">
                  <c:v>SPAIN</c:v>
                </c:pt>
                <c:pt idx="11">
                  <c:v>FRANCE</c:v>
                </c:pt>
                <c:pt idx="12">
                  <c:v>PORTUGAL</c:v>
                </c:pt>
                <c:pt idx="13">
                  <c:v>UK</c:v>
                </c:pt>
              </c:strCache>
            </c:strRef>
          </c:cat>
          <c:val>
            <c:numRef>
              <c:f>'Final HPP classification'!$U$2:$U$15</c:f>
              <c:numCache>
                <c:formatCode>General</c:formatCode>
                <c:ptCount val="14"/>
                <c:pt idx="0">
                  <c:v>2</c:v>
                </c:pt>
                <c:pt idx="1">
                  <c:v>2</c:v>
                </c:pt>
                <c:pt idx="2">
                  <c:v>3</c:v>
                </c:pt>
                <c:pt idx="3">
                  <c:v>2</c:v>
                </c:pt>
                <c:pt idx="4">
                  <c:v>3</c:v>
                </c:pt>
                <c:pt idx="5">
                  <c:v>3</c:v>
                </c:pt>
                <c:pt idx="6">
                  <c:v>2</c:v>
                </c:pt>
                <c:pt idx="7">
                  <c:v>3</c:v>
                </c:pt>
                <c:pt idx="8">
                  <c:v>3</c:v>
                </c:pt>
                <c:pt idx="9">
                  <c:v>3</c:v>
                </c:pt>
                <c:pt idx="10">
                  <c:v>3</c:v>
                </c:pt>
                <c:pt idx="11">
                  <c:v>3</c:v>
                </c:pt>
                <c:pt idx="12">
                  <c:v>3</c:v>
                </c:pt>
                <c:pt idx="13">
                  <c:v>3</c:v>
                </c:pt>
              </c:numCache>
            </c:numRef>
          </c:val>
          <c:extLst>
            <c:ext xmlns:c16="http://schemas.microsoft.com/office/drawing/2014/chart" uri="{C3380CC4-5D6E-409C-BE32-E72D297353CC}">
              <c16:uniqueId val="{00000000-A13C-437B-AA01-F5F0F6D749DF}"/>
            </c:ext>
          </c:extLst>
        </c:ser>
        <c:ser>
          <c:idx val="1"/>
          <c:order val="1"/>
          <c:tx>
            <c:strRef>
              <c:f>'Final HPP classification'!$V$1:$V$1</c:f>
              <c:strCache>
                <c:ptCount val="1"/>
                <c:pt idx="0">
                  <c:v>2. Accurate and timely alert
systems (/7)</c:v>
                </c:pt>
              </c:strCache>
            </c:strRef>
          </c:tx>
          <c:spPr>
            <a:gradFill>
              <a:gsLst>
                <a:gs pos="0">
                  <a:srgbClr val="F18C55"/>
                </a:gs>
                <a:gs pos="100000">
                  <a:srgbClr val="F67B28"/>
                </a:gs>
              </a:gsLst>
              <a:lin ang="5400000"/>
            </a:gradFill>
            <a:ln>
              <a:noFill/>
            </a:ln>
          </c:spPr>
          <c:invertIfNegative val="0"/>
          <c:cat>
            <c:strRef>
              <c:f>'Final HPP classification'!$T$2:$T$15</c:f>
              <c:strCache>
                <c:ptCount val="14"/>
                <c:pt idx="0">
                  <c:v>SWEDEN</c:v>
                </c:pt>
                <c:pt idx="1">
                  <c:v>FINLAND</c:v>
                </c:pt>
                <c:pt idx="2">
                  <c:v>POLAND</c:v>
                </c:pt>
                <c:pt idx="3">
                  <c:v>CZECHIA</c:v>
                </c:pt>
                <c:pt idx="4">
                  <c:v>NETHERLANDS</c:v>
                </c:pt>
                <c:pt idx="5">
                  <c:v>ROMANIA</c:v>
                </c:pt>
                <c:pt idx="6">
                  <c:v>SERBIA</c:v>
                </c:pt>
                <c:pt idx="7">
                  <c:v>SWITZERLAND</c:v>
                </c:pt>
                <c:pt idx="8">
                  <c:v>ITALY</c:v>
                </c:pt>
                <c:pt idx="9">
                  <c:v>GERMANY</c:v>
                </c:pt>
                <c:pt idx="10">
                  <c:v>SPAIN</c:v>
                </c:pt>
                <c:pt idx="11">
                  <c:v>FRANCE</c:v>
                </c:pt>
                <c:pt idx="12">
                  <c:v>PORTUGAL</c:v>
                </c:pt>
                <c:pt idx="13">
                  <c:v>UK</c:v>
                </c:pt>
              </c:strCache>
            </c:strRef>
          </c:cat>
          <c:val>
            <c:numRef>
              <c:f>'Final HPP classification'!$V$2:$V$15</c:f>
              <c:numCache>
                <c:formatCode>General</c:formatCode>
                <c:ptCount val="14"/>
                <c:pt idx="0">
                  <c:v>6</c:v>
                </c:pt>
                <c:pt idx="1">
                  <c:v>5</c:v>
                </c:pt>
                <c:pt idx="2">
                  <c:v>5</c:v>
                </c:pt>
                <c:pt idx="3">
                  <c:v>4</c:v>
                </c:pt>
                <c:pt idx="4">
                  <c:v>6</c:v>
                </c:pt>
                <c:pt idx="5">
                  <c:v>3</c:v>
                </c:pt>
                <c:pt idx="6">
                  <c:v>9</c:v>
                </c:pt>
                <c:pt idx="7">
                  <c:v>7</c:v>
                </c:pt>
                <c:pt idx="8">
                  <c:v>5</c:v>
                </c:pt>
                <c:pt idx="9">
                  <c:v>7</c:v>
                </c:pt>
                <c:pt idx="10">
                  <c:v>11</c:v>
                </c:pt>
                <c:pt idx="11">
                  <c:v>9</c:v>
                </c:pt>
                <c:pt idx="12">
                  <c:v>11</c:v>
                </c:pt>
                <c:pt idx="13">
                  <c:v>9</c:v>
                </c:pt>
              </c:numCache>
            </c:numRef>
          </c:val>
          <c:extLst>
            <c:ext xmlns:c16="http://schemas.microsoft.com/office/drawing/2014/chart" uri="{C3380CC4-5D6E-409C-BE32-E72D297353CC}">
              <c16:uniqueId val="{00000001-A13C-437B-AA01-F5F0F6D749DF}"/>
            </c:ext>
          </c:extLst>
        </c:ser>
        <c:ser>
          <c:idx val="2"/>
          <c:order val="2"/>
          <c:tx>
            <c:strRef>
              <c:f>'Final HPP classification'!$W$1:$W$1</c:f>
              <c:strCache>
                <c:ptCount val="1"/>
                <c:pt idx="0">
                  <c:v>3. Health information plan (/7)</c:v>
                </c:pt>
              </c:strCache>
            </c:strRef>
          </c:tx>
          <c:spPr>
            <a:gradFill>
              <a:gsLst>
                <a:gs pos="0">
                  <a:srgbClr val="AFAFAF"/>
                </a:gs>
                <a:gs pos="100000">
                  <a:srgbClr val="A5A5A5"/>
                </a:gs>
              </a:gsLst>
              <a:lin ang="5400000"/>
            </a:gradFill>
            <a:ln>
              <a:noFill/>
            </a:ln>
          </c:spPr>
          <c:invertIfNegative val="0"/>
          <c:cat>
            <c:strRef>
              <c:f>'Final HPP classification'!$T$2:$T$15</c:f>
              <c:strCache>
                <c:ptCount val="14"/>
                <c:pt idx="0">
                  <c:v>SWEDEN</c:v>
                </c:pt>
                <c:pt idx="1">
                  <c:v>FINLAND</c:v>
                </c:pt>
                <c:pt idx="2">
                  <c:v>POLAND</c:v>
                </c:pt>
                <c:pt idx="3">
                  <c:v>CZECHIA</c:v>
                </c:pt>
                <c:pt idx="4">
                  <c:v>NETHERLANDS</c:v>
                </c:pt>
                <c:pt idx="5">
                  <c:v>ROMANIA</c:v>
                </c:pt>
                <c:pt idx="6">
                  <c:v>SERBIA</c:v>
                </c:pt>
                <c:pt idx="7">
                  <c:v>SWITZERLAND</c:v>
                </c:pt>
                <c:pt idx="8">
                  <c:v>ITALY</c:v>
                </c:pt>
                <c:pt idx="9">
                  <c:v>GERMANY</c:v>
                </c:pt>
                <c:pt idx="10">
                  <c:v>SPAIN</c:v>
                </c:pt>
                <c:pt idx="11">
                  <c:v>FRANCE</c:v>
                </c:pt>
                <c:pt idx="12">
                  <c:v>PORTUGAL</c:v>
                </c:pt>
                <c:pt idx="13">
                  <c:v>UK</c:v>
                </c:pt>
              </c:strCache>
            </c:strRef>
          </c:cat>
          <c:val>
            <c:numRef>
              <c:f>'Final HPP classification'!$W$2:$W$15</c:f>
              <c:numCache>
                <c:formatCode>General</c:formatCode>
                <c:ptCount val="14"/>
                <c:pt idx="0">
                  <c:v>0</c:v>
                </c:pt>
                <c:pt idx="1">
                  <c:v>2</c:v>
                </c:pt>
                <c:pt idx="2">
                  <c:v>2</c:v>
                </c:pt>
                <c:pt idx="3">
                  <c:v>6</c:v>
                </c:pt>
                <c:pt idx="4">
                  <c:v>4</c:v>
                </c:pt>
                <c:pt idx="5">
                  <c:v>6</c:v>
                </c:pt>
                <c:pt idx="6">
                  <c:v>6</c:v>
                </c:pt>
                <c:pt idx="7">
                  <c:v>6</c:v>
                </c:pt>
                <c:pt idx="8">
                  <c:v>6</c:v>
                </c:pt>
                <c:pt idx="9">
                  <c:v>6</c:v>
                </c:pt>
                <c:pt idx="10">
                  <c:v>6</c:v>
                </c:pt>
                <c:pt idx="11">
                  <c:v>6</c:v>
                </c:pt>
                <c:pt idx="12">
                  <c:v>8</c:v>
                </c:pt>
                <c:pt idx="13">
                  <c:v>8</c:v>
                </c:pt>
              </c:numCache>
            </c:numRef>
          </c:val>
          <c:extLst>
            <c:ext xmlns:c16="http://schemas.microsoft.com/office/drawing/2014/chart" uri="{C3380CC4-5D6E-409C-BE32-E72D297353CC}">
              <c16:uniqueId val="{00000002-A13C-437B-AA01-F5F0F6D749DF}"/>
            </c:ext>
          </c:extLst>
        </c:ser>
        <c:ser>
          <c:idx val="3"/>
          <c:order val="3"/>
          <c:tx>
            <c:strRef>
              <c:f>'Final HPP classification'!$X$1:$X$1</c:f>
              <c:strCache>
                <c:ptCount val="1"/>
                <c:pt idx="0">
                  <c:v>4. Reduction in indoor heat
exposure (/4)</c:v>
                </c:pt>
              </c:strCache>
            </c:strRef>
          </c:tx>
          <c:spPr>
            <a:gradFill>
              <a:gsLst>
                <a:gs pos="0">
                  <a:srgbClr val="FFC746"/>
                </a:gs>
                <a:gs pos="100000">
                  <a:srgbClr val="FFC600"/>
                </a:gs>
              </a:gsLst>
              <a:lin ang="5400000"/>
            </a:gradFill>
            <a:ln>
              <a:noFill/>
            </a:ln>
          </c:spPr>
          <c:invertIfNegative val="0"/>
          <c:cat>
            <c:strRef>
              <c:f>'Final HPP classification'!$T$2:$T$15</c:f>
              <c:strCache>
                <c:ptCount val="14"/>
                <c:pt idx="0">
                  <c:v>SWEDEN</c:v>
                </c:pt>
                <c:pt idx="1">
                  <c:v>FINLAND</c:v>
                </c:pt>
                <c:pt idx="2">
                  <c:v>POLAND</c:v>
                </c:pt>
                <c:pt idx="3">
                  <c:v>CZECHIA</c:v>
                </c:pt>
                <c:pt idx="4">
                  <c:v>NETHERLANDS</c:v>
                </c:pt>
                <c:pt idx="5">
                  <c:v>ROMANIA</c:v>
                </c:pt>
                <c:pt idx="6">
                  <c:v>SERBIA</c:v>
                </c:pt>
                <c:pt idx="7">
                  <c:v>SWITZERLAND</c:v>
                </c:pt>
                <c:pt idx="8">
                  <c:v>ITALY</c:v>
                </c:pt>
                <c:pt idx="9">
                  <c:v>GERMANY</c:v>
                </c:pt>
                <c:pt idx="10">
                  <c:v>SPAIN</c:v>
                </c:pt>
                <c:pt idx="11">
                  <c:v>FRANCE</c:v>
                </c:pt>
                <c:pt idx="12">
                  <c:v>PORTUGAL</c:v>
                </c:pt>
                <c:pt idx="13">
                  <c:v>UK</c:v>
                </c:pt>
              </c:strCache>
            </c:strRef>
          </c:cat>
          <c:val>
            <c:numRef>
              <c:f>'Final HPP classification'!$X$2:$X$15</c:f>
              <c:numCache>
                <c:formatCode>General</c:formatCode>
                <c:ptCount val="14"/>
                <c:pt idx="0">
                  <c:v>0</c:v>
                </c:pt>
                <c:pt idx="1">
                  <c:v>0</c:v>
                </c:pt>
                <c:pt idx="2">
                  <c:v>0</c:v>
                </c:pt>
                <c:pt idx="3">
                  <c:v>0</c:v>
                </c:pt>
                <c:pt idx="4">
                  <c:v>0</c:v>
                </c:pt>
                <c:pt idx="5">
                  <c:v>0</c:v>
                </c:pt>
                <c:pt idx="6">
                  <c:v>0</c:v>
                </c:pt>
                <c:pt idx="7">
                  <c:v>0</c:v>
                </c:pt>
                <c:pt idx="8">
                  <c:v>0</c:v>
                </c:pt>
                <c:pt idx="9">
                  <c:v>2</c:v>
                </c:pt>
                <c:pt idx="10">
                  <c:v>0</c:v>
                </c:pt>
                <c:pt idx="11">
                  <c:v>1</c:v>
                </c:pt>
                <c:pt idx="12">
                  <c:v>2</c:v>
                </c:pt>
                <c:pt idx="13">
                  <c:v>3</c:v>
                </c:pt>
              </c:numCache>
            </c:numRef>
          </c:val>
          <c:extLst>
            <c:ext xmlns:c16="http://schemas.microsoft.com/office/drawing/2014/chart" uri="{C3380CC4-5D6E-409C-BE32-E72D297353CC}">
              <c16:uniqueId val="{00000003-A13C-437B-AA01-F5F0F6D749DF}"/>
            </c:ext>
          </c:extLst>
        </c:ser>
        <c:ser>
          <c:idx val="4"/>
          <c:order val="4"/>
          <c:tx>
            <c:strRef>
              <c:f>'Final HPP classification'!$Y$1:$Y$1</c:f>
              <c:strCache>
                <c:ptCount val="1"/>
                <c:pt idx="0">
                  <c:v>5. Particular care for
vulnerable groups (/8)</c:v>
                </c:pt>
              </c:strCache>
            </c:strRef>
          </c:tx>
          <c:spPr>
            <a:gradFill>
              <a:gsLst>
                <a:gs pos="0">
                  <a:srgbClr val="6083CB"/>
                </a:gs>
                <a:gs pos="100000">
                  <a:srgbClr val="3E70CA"/>
                </a:gs>
              </a:gsLst>
              <a:lin ang="5400000"/>
            </a:gradFill>
            <a:ln>
              <a:noFill/>
            </a:ln>
          </c:spPr>
          <c:invertIfNegative val="0"/>
          <c:cat>
            <c:strRef>
              <c:f>'Final HPP classification'!$T$2:$T$15</c:f>
              <c:strCache>
                <c:ptCount val="14"/>
                <c:pt idx="0">
                  <c:v>SWEDEN</c:v>
                </c:pt>
                <c:pt idx="1">
                  <c:v>FINLAND</c:v>
                </c:pt>
                <c:pt idx="2">
                  <c:v>POLAND</c:v>
                </c:pt>
                <c:pt idx="3">
                  <c:v>CZECHIA</c:v>
                </c:pt>
                <c:pt idx="4">
                  <c:v>NETHERLANDS</c:v>
                </c:pt>
                <c:pt idx="5">
                  <c:v>ROMANIA</c:v>
                </c:pt>
                <c:pt idx="6">
                  <c:v>SERBIA</c:v>
                </c:pt>
                <c:pt idx="7">
                  <c:v>SWITZERLAND</c:v>
                </c:pt>
                <c:pt idx="8">
                  <c:v>ITALY</c:v>
                </c:pt>
                <c:pt idx="9">
                  <c:v>GERMANY</c:v>
                </c:pt>
                <c:pt idx="10">
                  <c:v>SPAIN</c:v>
                </c:pt>
                <c:pt idx="11">
                  <c:v>FRANCE</c:v>
                </c:pt>
                <c:pt idx="12">
                  <c:v>PORTUGAL</c:v>
                </c:pt>
                <c:pt idx="13">
                  <c:v>UK</c:v>
                </c:pt>
              </c:strCache>
            </c:strRef>
          </c:cat>
          <c:val>
            <c:numRef>
              <c:f>'Final HPP classification'!$Y$2:$Y$15</c:f>
              <c:numCache>
                <c:formatCode>General</c:formatCode>
                <c:ptCount val="14"/>
                <c:pt idx="0">
                  <c:v>0</c:v>
                </c:pt>
                <c:pt idx="1">
                  <c:v>0</c:v>
                </c:pt>
                <c:pt idx="2">
                  <c:v>0</c:v>
                </c:pt>
                <c:pt idx="3">
                  <c:v>0</c:v>
                </c:pt>
                <c:pt idx="4">
                  <c:v>2</c:v>
                </c:pt>
                <c:pt idx="5">
                  <c:v>1</c:v>
                </c:pt>
                <c:pt idx="6">
                  <c:v>0</c:v>
                </c:pt>
                <c:pt idx="7">
                  <c:v>0</c:v>
                </c:pt>
                <c:pt idx="8">
                  <c:v>6</c:v>
                </c:pt>
                <c:pt idx="9">
                  <c:v>3</c:v>
                </c:pt>
                <c:pt idx="10">
                  <c:v>5</c:v>
                </c:pt>
                <c:pt idx="11">
                  <c:v>5</c:v>
                </c:pt>
                <c:pt idx="12">
                  <c:v>4</c:v>
                </c:pt>
                <c:pt idx="13">
                  <c:v>4</c:v>
                </c:pt>
              </c:numCache>
            </c:numRef>
          </c:val>
          <c:extLst>
            <c:ext xmlns:c16="http://schemas.microsoft.com/office/drawing/2014/chart" uri="{C3380CC4-5D6E-409C-BE32-E72D297353CC}">
              <c16:uniqueId val="{00000004-A13C-437B-AA01-F5F0F6D749DF}"/>
            </c:ext>
          </c:extLst>
        </c:ser>
        <c:ser>
          <c:idx val="5"/>
          <c:order val="5"/>
          <c:tx>
            <c:strRef>
              <c:f>'Final HPP classification'!$Z$1:$Z$1</c:f>
              <c:strCache>
                <c:ptCount val="1"/>
                <c:pt idx="0">
                  <c:v>6. Preparedness of the health/
social care system (/9)</c:v>
                </c:pt>
              </c:strCache>
            </c:strRef>
          </c:tx>
          <c:spPr>
            <a:gradFill>
              <a:gsLst>
                <a:gs pos="0">
                  <a:srgbClr val="81B861"/>
                </a:gs>
                <a:gs pos="100000">
                  <a:srgbClr val="6FB242"/>
                </a:gs>
              </a:gsLst>
              <a:lin ang="5400000"/>
            </a:gradFill>
            <a:ln>
              <a:noFill/>
            </a:ln>
          </c:spPr>
          <c:invertIfNegative val="0"/>
          <c:cat>
            <c:strRef>
              <c:f>'Final HPP classification'!$T$2:$T$15</c:f>
              <c:strCache>
                <c:ptCount val="14"/>
                <c:pt idx="0">
                  <c:v>SWEDEN</c:v>
                </c:pt>
                <c:pt idx="1">
                  <c:v>FINLAND</c:v>
                </c:pt>
                <c:pt idx="2">
                  <c:v>POLAND</c:v>
                </c:pt>
                <c:pt idx="3">
                  <c:v>CZECHIA</c:v>
                </c:pt>
                <c:pt idx="4">
                  <c:v>NETHERLANDS</c:v>
                </c:pt>
                <c:pt idx="5">
                  <c:v>ROMANIA</c:v>
                </c:pt>
                <c:pt idx="6">
                  <c:v>SERBIA</c:v>
                </c:pt>
                <c:pt idx="7">
                  <c:v>SWITZERLAND</c:v>
                </c:pt>
                <c:pt idx="8">
                  <c:v>ITALY</c:v>
                </c:pt>
                <c:pt idx="9">
                  <c:v>GERMANY</c:v>
                </c:pt>
                <c:pt idx="10">
                  <c:v>SPAIN</c:v>
                </c:pt>
                <c:pt idx="11">
                  <c:v>FRANCE</c:v>
                </c:pt>
                <c:pt idx="12">
                  <c:v>PORTUGAL</c:v>
                </c:pt>
                <c:pt idx="13">
                  <c:v>UK</c:v>
                </c:pt>
              </c:strCache>
            </c:strRef>
          </c:cat>
          <c:val>
            <c:numRef>
              <c:f>'Final HPP classification'!$Z$2:$Z$15</c:f>
              <c:numCache>
                <c:formatCode>General</c:formatCode>
                <c:ptCount val="14"/>
                <c:pt idx="0">
                  <c:v>0</c:v>
                </c:pt>
                <c:pt idx="1">
                  <c:v>0</c:v>
                </c:pt>
                <c:pt idx="2">
                  <c:v>0</c:v>
                </c:pt>
                <c:pt idx="3">
                  <c:v>0</c:v>
                </c:pt>
                <c:pt idx="4">
                  <c:v>0</c:v>
                </c:pt>
                <c:pt idx="5">
                  <c:v>2</c:v>
                </c:pt>
                <c:pt idx="6">
                  <c:v>0</c:v>
                </c:pt>
                <c:pt idx="7">
                  <c:v>1</c:v>
                </c:pt>
                <c:pt idx="8">
                  <c:v>2</c:v>
                </c:pt>
                <c:pt idx="9">
                  <c:v>4</c:v>
                </c:pt>
                <c:pt idx="10">
                  <c:v>4</c:v>
                </c:pt>
                <c:pt idx="11">
                  <c:v>6</c:v>
                </c:pt>
                <c:pt idx="12">
                  <c:v>3</c:v>
                </c:pt>
                <c:pt idx="13">
                  <c:v>4</c:v>
                </c:pt>
              </c:numCache>
            </c:numRef>
          </c:val>
          <c:extLst>
            <c:ext xmlns:c16="http://schemas.microsoft.com/office/drawing/2014/chart" uri="{C3380CC4-5D6E-409C-BE32-E72D297353CC}">
              <c16:uniqueId val="{00000005-A13C-437B-AA01-F5F0F6D749DF}"/>
            </c:ext>
          </c:extLst>
        </c:ser>
        <c:dLbls>
          <c:showLegendKey val="0"/>
          <c:showVal val="0"/>
          <c:showCatName val="0"/>
          <c:showSerName val="0"/>
          <c:showPercent val="0"/>
          <c:showBubbleSize val="0"/>
        </c:dLbls>
        <c:gapWidth val="150"/>
        <c:overlap val="100"/>
        <c:axId val="1904911712"/>
        <c:axId val="1904913632"/>
      </c:barChart>
      <c:valAx>
        <c:axId val="1904913632"/>
        <c:scaling>
          <c:orientation val="minMax"/>
        </c:scaling>
        <c:delete val="0"/>
        <c:axPos val="b"/>
        <c:majorGridlines>
          <c:spPr>
            <a:ln w="9528" cap="flat">
              <a:solidFill>
                <a:srgbClr val="E0E5EB"/>
              </a:solidFill>
              <a:prstDash val="solid"/>
              <a:round/>
            </a:ln>
          </c:spPr>
        </c:majorGridlines>
        <c:numFmt formatCode="General" sourceLinked="1"/>
        <c:majorTickMark val="none"/>
        <c:minorTickMark val="none"/>
        <c:tickLblPos val="nextTo"/>
        <c:spPr>
          <a:noFill/>
          <a:ln>
            <a:noFill/>
          </a:ln>
        </c:spPr>
        <c:txPr>
          <a:bodyPr lIns="0" tIns="0" rIns="0" bIns="0"/>
          <a:lstStyle/>
          <a:p>
            <a:pPr marL="0" marR="0" indent="0" defTabSz="914400" fontAlgn="auto" hangingPunct="1">
              <a:lnSpc>
                <a:spcPct val="100000"/>
              </a:lnSpc>
              <a:spcBef>
                <a:spcPts val="0"/>
              </a:spcBef>
              <a:spcAft>
                <a:spcPts val="0"/>
              </a:spcAft>
              <a:tabLst/>
              <a:defRPr lang="en-US" sz="900" b="0" i="0" u="none" strike="noStrike" kern="1200" baseline="0">
                <a:solidFill>
                  <a:srgbClr val="000000"/>
                </a:solidFill>
                <a:latin typeface="Calibri"/>
              </a:defRPr>
            </a:pPr>
            <a:endParaRPr lang="en-US"/>
          </a:p>
        </c:txPr>
        <c:crossAx val="1904911712"/>
        <c:crosses val="autoZero"/>
        <c:crossBetween val="between"/>
      </c:valAx>
      <c:catAx>
        <c:axId val="1904911712"/>
        <c:scaling>
          <c:orientation val="minMax"/>
        </c:scaling>
        <c:delete val="0"/>
        <c:axPos val="l"/>
        <c:numFmt formatCode="General" sourceLinked="1"/>
        <c:majorTickMark val="none"/>
        <c:minorTickMark val="none"/>
        <c:tickLblPos val="nextTo"/>
        <c:spPr>
          <a:noFill/>
          <a:ln w="9528" cap="flat">
            <a:solidFill>
              <a:srgbClr val="E0E5EB"/>
            </a:solidFill>
            <a:prstDash val="solid"/>
            <a:round/>
          </a:ln>
        </c:spPr>
        <c:txPr>
          <a:bodyPr lIns="0" tIns="0" rIns="0" bIns="0"/>
          <a:lstStyle/>
          <a:p>
            <a:pPr marL="0" marR="0" indent="0" defTabSz="914400" fontAlgn="auto" hangingPunct="1">
              <a:lnSpc>
                <a:spcPct val="100000"/>
              </a:lnSpc>
              <a:spcBef>
                <a:spcPts val="0"/>
              </a:spcBef>
              <a:spcAft>
                <a:spcPts val="0"/>
              </a:spcAft>
              <a:tabLst/>
              <a:defRPr lang="en-US" sz="900" b="0" i="0" u="none" strike="noStrike" kern="1200" baseline="0">
                <a:solidFill>
                  <a:srgbClr val="000000"/>
                </a:solidFill>
                <a:latin typeface="Calibri"/>
              </a:defRPr>
            </a:pPr>
            <a:endParaRPr lang="en-US"/>
          </a:p>
        </c:txPr>
        <c:crossAx val="1904913632"/>
        <c:crosses val="autoZero"/>
        <c:auto val="1"/>
        <c:lblAlgn val="ctr"/>
        <c:lblOffset val="100"/>
        <c:noMultiLvlLbl val="0"/>
      </c:catAx>
      <c:spPr>
        <a:noFill/>
        <a:ln>
          <a:noFill/>
        </a:ln>
      </c:spPr>
    </c:plotArea>
    <c:legend>
      <c:legendPos val="b"/>
      <c:layout>
        <c:manualLayout>
          <c:xMode val="edge"/>
          <c:yMode val="edge"/>
          <c:x val="3.3396225015712162E-2"/>
          <c:y val="0.87287577425050678"/>
          <c:w val="0.91273093828994167"/>
          <c:h val="0.11441190327157125"/>
        </c:manualLayout>
      </c:layout>
      <c:overlay val="0"/>
      <c:spPr>
        <a:noFill/>
        <a:ln>
          <a:noFill/>
        </a:ln>
      </c:spPr>
      <c:txPr>
        <a:bodyPr lIns="0" tIns="0" rIns="0" bIns="0"/>
        <a:lstStyle/>
        <a:p>
          <a:pPr marL="0" marR="0" indent="0" defTabSz="914400" fontAlgn="auto" hangingPunct="1">
            <a:lnSpc>
              <a:spcPct val="100000"/>
            </a:lnSpc>
            <a:spcBef>
              <a:spcPts val="0"/>
            </a:spcBef>
            <a:spcAft>
              <a:spcPts val="0"/>
            </a:spcAft>
            <a:tabLst/>
            <a:defRPr lang="en-US" sz="800" b="0" i="0" u="none" strike="noStrike" kern="1200" baseline="0">
              <a:solidFill>
                <a:srgbClr val="000000"/>
              </a:solidFill>
              <a:latin typeface="Calibri"/>
            </a:defRPr>
          </a:pPr>
          <a:endParaRPr lang="en-US"/>
        </a:p>
      </c:txPr>
    </c:legend>
    <c:plotVisOnly val="1"/>
    <c:dispBlanksAs val="gap"/>
    <c:showDLblsOverMax val="0"/>
  </c:chart>
  <c:spPr>
    <a:solidFill>
      <a:srgbClr val="FFFFFF"/>
    </a:solidFill>
    <a:ln w="9528" cap="flat">
      <a:solidFill>
        <a:srgbClr val="E0E5EB"/>
      </a:solidFill>
      <a:prstDash val="solid"/>
      <a:round/>
    </a:ln>
  </c:spPr>
  <c:txPr>
    <a:bodyPr lIns="0" tIns="0" rIns="0" bIns="0"/>
    <a:lstStyle/>
    <a:p>
      <a:pPr marL="0" marR="0" indent="0" defTabSz="914400" fontAlgn="auto" hangingPunct="1">
        <a:lnSpc>
          <a:spcPct val="100000"/>
        </a:lnSpc>
        <a:spcBef>
          <a:spcPts val="0"/>
        </a:spcBef>
        <a:spcAft>
          <a:spcPts val="0"/>
        </a:spcAft>
        <a:tabLst/>
        <a:defRPr lang="en-US" sz="900" b="0" i="0" u="none" strike="noStrike" kern="1200" baseline="0">
          <a:solidFill>
            <a:srgbClr val="000000"/>
          </a:solidFill>
          <a:latin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303297" cy="5994184"/>
    <xdr:graphicFrame macro="">
      <xdr:nvGraphicFramePr>
        <xdr:cNvPr id="2" name="Graf 1">
          <a:extLst>
            <a:ext uri="{FF2B5EF4-FFF2-40B4-BE49-F238E27FC236}">
              <a16:creationId xmlns:a16="http://schemas.microsoft.com/office/drawing/2014/main" id="{4904A10B-8463-36D1-738A-12061B326B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n.ilmatieteenlaitos.fi/warnings-on-hot-and-cold-weather" TargetMode="External"/><Relationship Id="rId7" Type="http://schemas.openxmlformats.org/officeDocument/2006/relationships/hyperlink" Target="https://www.ncbi.nlm.nih.gov/pmc/articles/PMC6713612/pdf/nihms-1047094.pdf" TargetMode="External"/><Relationship Id="rId2" Type="http://schemas.openxmlformats.org/officeDocument/2006/relationships/hyperlink" Target="http://www.ilmateenistus.ee/ilm/prognoosid/hoiatused/?lang=en" TargetMode="External"/><Relationship Id="rId1" Type="http://schemas.openxmlformats.org/officeDocument/2006/relationships/hyperlink" Target="http://www.brs.dk/" TargetMode="External"/><Relationship Id="rId6" Type="http://schemas.openxmlformats.org/officeDocument/2006/relationships/hyperlink" Target="https://en.wikipedia.org/wiki/Comarques_of_Catalonia" TargetMode="External"/><Relationship Id="rId5" Type="http://schemas.openxmlformats.org/officeDocument/2006/relationships/hyperlink" Target="https://bmchealthservres.biomedcentral.com/track/pdf/10.1186/1472-6963-13-135.pdf" TargetMode="External"/><Relationship Id="rId4" Type="http://schemas.openxmlformats.org/officeDocument/2006/relationships/hyperlink" Target="https://en.ilmatieteenlaitos.fi/information-on-warning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mscbs.gob.es/ciudadanos/saludAmbLaboral/planAltasTemp/2021/docs/Plan_Calor_2021.pdf" TargetMode="External"/><Relationship Id="rId3" Type="http://schemas.openxmlformats.org/officeDocument/2006/relationships/hyperlink" Target="https://www.sanita.puglia.it/documents/36092/167452003/C_17_pubblicazioni_3069_allegato.pdf/501d4bbd-fdbc-40f3-b88f-e6bc48b0a4ca" TargetMode="External"/><Relationship Id="rId7" Type="http://schemas.openxmlformats.org/officeDocument/2006/relationships/hyperlink" Target="https://www.arslvt.min-saude.pt/uploads/writer_file/document/9437/PCSS_Mo_dulo_Vera_o_e_COVID-19_ARSLVT_2021__com_fichas-resumo_VF.pdf" TargetMode="External"/><Relationship Id="rId12" Type="http://schemas.openxmlformats.org/officeDocument/2006/relationships/hyperlink" Target="https://assets.publishing.service.gov.uk/government/uploads/system/uploads/attachment_data/file/888668/Heatwave_plan_for_England_2020.pdf" TargetMode="External"/><Relationship Id="rId2" Type="http://schemas.openxmlformats.org/officeDocument/2006/relationships/hyperlink" Target="https://www.c40.org/case-studies/cities100-athens-heatwave-action-plan-protects-vulnerable-residents/" TargetMode="External"/><Relationship Id="rId1" Type="http://schemas.openxmlformats.org/officeDocument/2006/relationships/hyperlink" Target="https://www.bmu.de/themen/gesundheit-chemikalien/gesundheit/gesundheit-im-klimawandel/handlungsempfehlungen-fuer-die-erstellung-von-hitzeaktionsplaenen" TargetMode="External"/><Relationship Id="rId6" Type="http://schemas.openxmlformats.org/officeDocument/2006/relationships/hyperlink" Target="https://www.dgs.pt/documentos-e-publicacoes/plano-de-contingencia-saude-sazonal-modulo-verao-2021-referenciais-pdf.aspx" TargetMode="External"/><Relationship Id="rId11" Type="http://schemas.openxmlformats.org/officeDocument/2006/relationships/hyperlink" Target="https://newsletter.lu.ch/files/SK/Mitteilungen%202021/10_Okt/20211018_B87.pdf" TargetMode="External"/><Relationship Id="rId5" Type="http://schemas.openxmlformats.org/officeDocument/2006/relationships/hyperlink" Target="https://bmchealthservres.biomedcentral.com/track/pdf/10.1186/1472-6963-13-135.pdf" TargetMode="External"/><Relationship Id="rId10" Type="http://schemas.openxmlformats.org/officeDocument/2006/relationships/hyperlink" Target="https://www.juntadeandalucia.es/export/drupaljda/Plan%20Andaluz%20Temperaturas%20Excesivas%202020_0.pdf" TargetMode="External"/><Relationship Id="rId4" Type="http://schemas.openxmlformats.org/officeDocument/2006/relationships/hyperlink" Target="http://www.salute.gov.it/caldo" TargetMode="External"/><Relationship Id="rId9" Type="http://schemas.openxmlformats.org/officeDocument/2006/relationships/hyperlink" Target="https://www.comunidad.madrid/sites/default/files/doc/sanidad/calo/plan_de_vigilancia_y_control_efectos_olas_de_calor_2021.pdf"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ocs.google.com/forms/d/1kRRQf2Jc4emIi2XYXBS9tmGyD2E0Mkv4K6ZFcu3zEw8/edit" TargetMode="External"/><Relationship Id="rId2" Type="http://schemas.openxmlformats.org/officeDocument/2006/relationships/hyperlink" Target="mailto:Jshumake-guillemot@wmo.int" TargetMode="External"/><Relationship Id="rId1" Type="http://schemas.openxmlformats.org/officeDocument/2006/relationships/hyperlink" Target="mailto:cboyer10@uw.edu"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1F5C6-40B5-4C0D-849C-E57E5A51D2A2}">
  <dimension ref="A1:P49"/>
  <sheetViews>
    <sheetView topLeftCell="A22" zoomScale="70" zoomScaleNormal="70" workbookViewId="0"/>
  </sheetViews>
  <sheetFormatPr defaultColWidth="11.109375" defaultRowHeight="14.4" x14ac:dyDescent="0.3"/>
  <cols>
    <col min="1" max="2" width="11.109375" customWidth="1"/>
    <col min="3" max="3" width="17.33203125" customWidth="1"/>
    <col min="4" max="7" width="11.109375" customWidth="1"/>
    <col min="8" max="8" width="26" customWidth="1"/>
    <col min="9" max="9" width="13.44140625" customWidth="1"/>
    <col min="10" max="10" width="21.109375" customWidth="1"/>
    <col min="11" max="11" width="15.77734375" bestFit="1" customWidth="1"/>
    <col min="12" max="12" width="16.6640625" customWidth="1"/>
    <col min="13" max="13" width="11.109375" customWidth="1"/>
  </cols>
  <sheetData>
    <row r="1" spans="1:16" ht="30" customHeight="1" thickBot="1" x14ac:dyDescent="0.35">
      <c r="A1" s="1"/>
      <c r="B1" s="63" t="s">
        <v>0</v>
      </c>
      <c r="C1" s="63"/>
      <c r="D1" s="63"/>
      <c r="E1" s="63"/>
      <c r="F1" s="63"/>
      <c r="G1" s="63"/>
      <c r="H1" s="63"/>
      <c r="I1" s="63"/>
      <c r="J1" s="63"/>
      <c r="K1" s="63"/>
      <c r="L1" s="63"/>
      <c r="M1" s="63"/>
      <c r="N1" s="63"/>
      <c r="O1" s="63"/>
    </row>
    <row r="2" spans="1:16" ht="3" customHeight="1" thickBot="1" x14ac:dyDescent="0.35">
      <c r="A2" s="1"/>
      <c r="B2" s="64" t="s">
        <v>1</v>
      </c>
      <c r="C2" s="64"/>
      <c r="D2" s="64"/>
      <c r="E2" s="64"/>
      <c r="F2" s="64"/>
      <c r="G2" s="64"/>
      <c r="H2" s="64"/>
      <c r="I2" s="64"/>
      <c r="J2" s="64"/>
      <c r="K2" s="64"/>
      <c r="L2" s="64"/>
      <c r="M2" s="64"/>
      <c r="N2" s="64"/>
      <c r="O2" s="64"/>
    </row>
    <row r="3" spans="1:16" ht="3" customHeight="1" thickBot="1" x14ac:dyDescent="0.35">
      <c r="A3" s="2"/>
      <c r="B3" s="2"/>
      <c r="C3" s="2"/>
      <c r="D3" s="2"/>
      <c r="E3" s="2"/>
      <c r="F3" s="2"/>
      <c r="G3" s="2"/>
      <c r="H3" s="2"/>
      <c r="I3" s="2"/>
      <c r="J3" s="2"/>
      <c r="K3" s="2"/>
      <c r="L3" s="2"/>
      <c r="M3" s="2"/>
      <c r="N3" s="1"/>
      <c r="O3" s="1"/>
    </row>
    <row r="4" spans="1:16" ht="15" thickBot="1" x14ac:dyDescent="0.35">
      <c r="A4" s="2"/>
      <c r="B4" s="65" t="s">
        <v>2</v>
      </c>
      <c r="C4" s="65"/>
      <c r="D4" s="65"/>
      <c r="E4" s="65"/>
      <c r="F4" s="65"/>
      <c r="G4" s="65"/>
      <c r="H4" s="65"/>
      <c r="I4" s="65"/>
      <c r="J4" s="65"/>
      <c r="K4" s="65"/>
      <c r="L4" s="3" t="s">
        <v>3</v>
      </c>
      <c r="M4" s="66" t="s">
        <v>4</v>
      </c>
      <c r="N4" s="66"/>
      <c r="O4" s="67" t="s">
        <v>5</v>
      </c>
    </row>
    <row r="5" spans="1:16" ht="50.25" customHeight="1" thickBot="1" x14ac:dyDescent="0.35">
      <c r="A5" s="4" t="s">
        <v>6</v>
      </c>
      <c r="B5" s="5" t="s">
        <v>7</v>
      </c>
      <c r="C5" s="5" t="s">
        <v>8</v>
      </c>
      <c r="D5" s="5" t="s">
        <v>9</v>
      </c>
      <c r="E5" s="5" t="s">
        <v>10</v>
      </c>
      <c r="F5" s="5" t="s">
        <v>11</v>
      </c>
      <c r="G5" s="5" t="s">
        <v>12</v>
      </c>
      <c r="H5" s="5" t="s">
        <v>13</v>
      </c>
      <c r="I5" s="5" t="s">
        <v>14</v>
      </c>
      <c r="J5" s="5" t="s">
        <v>15</v>
      </c>
      <c r="K5" s="5" t="s">
        <v>16</v>
      </c>
      <c r="L5" s="6" t="s">
        <v>17</v>
      </c>
      <c r="M5" s="7" t="s">
        <v>18</v>
      </c>
      <c r="N5" s="7" t="s">
        <v>19</v>
      </c>
      <c r="O5" s="67"/>
      <c r="P5" t="s">
        <v>20</v>
      </c>
    </row>
    <row r="6" spans="1:16" ht="15" thickBot="1" x14ac:dyDescent="0.35">
      <c r="A6" s="8" t="s">
        <v>21</v>
      </c>
      <c r="B6" s="2"/>
      <c r="C6" s="2"/>
      <c r="D6" s="2"/>
      <c r="E6" s="2"/>
      <c r="F6" s="2"/>
      <c r="G6" s="2"/>
      <c r="H6" s="2"/>
      <c r="I6" s="2"/>
      <c r="J6" s="2"/>
      <c r="K6" s="2"/>
      <c r="L6" s="2"/>
      <c r="M6" s="2"/>
      <c r="N6" s="2"/>
      <c r="O6" s="2"/>
    </row>
    <row r="7" spans="1:16" ht="132.6" thickBot="1" x14ac:dyDescent="0.35">
      <c r="A7" s="8" t="s">
        <v>22</v>
      </c>
      <c r="B7" s="2" t="s">
        <v>23</v>
      </c>
      <c r="C7" s="2"/>
      <c r="D7" s="2" t="s">
        <v>24</v>
      </c>
      <c r="E7" s="2" t="s">
        <v>25</v>
      </c>
      <c r="F7" s="2" t="s">
        <v>26</v>
      </c>
      <c r="G7" s="2" t="s">
        <v>27</v>
      </c>
      <c r="H7" s="2" t="s">
        <v>28</v>
      </c>
      <c r="I7" s="2" t="s">
        <v>29</v>
      </c>
      <c r="J7" s="2" t="s">
        <v>30</v>
      </c>
      <c r="K7" s="2" t="s">
        <v>31</v>
      </c>
      <c r="L7" s="2"/>
      <c r="M7" s="2"/>
      <c r="N7" s="2"/>
      <c r="O7" s="2"/>
    </row>
    <row r="8" spans="1:16" ht="132.6" thickBot="1" x14ac:dyDescent="0.35">
      <c r="A8" s="8" t="s">
        <v>32</v>
      </c>
      <c r="B8" s="2" t="s">
        <v>33</v>
      </c>
      <c r="C8" s="2">
        <v>2005</v>
      </c>
      <c r="D8" s="2" t="s">
        <v>34</v>
      </c>
      <c r="E8" s="2" t="s">
        <v>35</v>
      </c>
      <c r="F8" s="2" t="s">
        <v>36</v>
      </c>
      <c r="G8" s="2" t="s">
        <v>37</v>
      </c>
      <c r="H8" s="2" t="s">
        <v>38</v>
      </c>
      <c r="I8" s="2"/>
      <c r="J8" s="2" t="s">
        <v>39</v>
      </c>
      <c r="K8" s="9" t="s">
        <v>40</v>
      </c>
      <c r="L8" s="2"/>
      <c r="M8" s="2"/>
      <c r="N8" s="2"/>
      <c r="O8" s="2" t="s">
        <v>41</v>
      </c>
    </row>
    <row r="9" spans="1:16" ht="317.39999999999998" thickBot="1" x14ac:dyDescent="0.35">
      <c r="A9" s="8" t="s">
        <v>42</v>
      </c>
      <c r="B9" s="2" t="s">
        <v>43</v>
      </c>
      <c r="C9" s="2">
        <v>2012</v>
      </c>
      <c r="D9" s="2" t="s">
        <v>44</v>
      </c>
      <c r="E9" s="2"/>
      <c r="F9" s="2" t="s">
        <v>45</v>
      </c>
      <c r="G9" s="2" t="s">
        <v>46</v>
      </c>
      <c r="H9" s="2" t="s">
        <v>47</v>
      </c>
      <c r="I9" s="2" t="s">
        <v>48</v>
      </c>
      <c r="J9" s="10" t="s">
        <v>49</v>
      </c>
      <c r="K9" s="2" t="s">
        <v>50</v>
      </c>
      <c r="L9" s="2"/>
      <c r="M9" s="2"/>
      <c r="N9" s="2"/>
      <c r="O9" s="2"/>
    </row>
    <row r="10" spans="1:16" ht="409.6" thickBot="1" x14ac:dyDescent="0.35">
      <c r="A10" s="11" t="s">
        <v>51</v>
      </c>
      <c r="B10" s="2" t="s">
        <v>52</v>
      </c>
      <c r="C10" s="12">
        <v>2019</v>
      </c>
      <c r="D10" s="2" t="s">
        <v>53</v>
      </c>
      <c r="E10" s="2" t="s">
        <v>54</v>
      </c>
      <c r="F10" s="2" t="s">
        <v>55</v>
      </c>
      <c r="G10" s="2" t="s">
        <v>56</v>
      </c>
      <c r="H10" s="2" t="s">
        <v>57</v>
      </c>
      <c r="I10" s="2" t="s">
        <v>58</v>
      </c>
      <c r="J10" s="2" t="s">
        <v>59</v>
      </c>
      <c r="K10" s="2" t="s">
        <v>60</v>
      </c>
      <c r="L10" s="12">
        <v>2000</v>
      </c>
      <c r="M10" s="2" t="s">
        <v>61</v>
      </c>
      <c r="N10" s="2" t="s">
        <v>62</v>
      </c>
      <c r="O10" s="2" t="s">
        <v>63</v>
      </c>
      <c r="P10">
        <v>2019</v>
      </c>
    </row>
    <row r="11" spans="1:16" ht="330.6" thickBot="1" x14ac:dyDescent="0.35">
      <c r="A11" s="8" t="s">
        <v>64</v>
      </c>
      <c r="B11" s="13" t="s">
        <v>65</v>
      </c>
      <c r="C11" s="2"/>
      <c r="D11" s="2" t="s">
        <v>66</v>
      </c>
      <c r="E11" s="2" t="s">
        <v>67</v>
      </c>
      <c r="F11" s="2" t="s">
        <v>68</v>
      </c>
      <c r="G11" s="2" t="s">
        <v>69</v>
      </c>
      <c r="H11" s="2" t="s">
        <v>70</v>
      </c>
      <c r="I11" s="2"/>
      <c r="J11" s="2" t="s">
        <v>71</v>
      </c>
      <c r="K11" s="2" t="s">
        <v>72</v>
      </c>
      <c r="L11" s="2" t="s">
        <v>73</v>
      </c>
      <c r="M11" s="2"/>
      <c r="N11" s="2"/>
      <c r="O11" s="2" t="s">
        <v>74</v>
      </c>
    </row>
    <row r="12" spans="1:16" ht="130.19999999999999" thickBot="1" x14ac:dyDescent="0.35">
      <c r="A12" s="11" t="s">
        <v>75</v>
      </c>
      <c r="B12" s="13" t="s">
        <v>76</v>
      </c>
      <c r="C12" s="12">
        <v>2021</v>
      </c>
      <c r="D12" s="2" t="s">
        <v>77</v>
      </c>
      <c r="E12" s="2" t="s">
        <v>78</v>
      </c>
      <c r="F12" s="2" t="s">
        <v>79</v>
      </c>
      <c r="G12" s="2" t="s">
        <v>80</v>
      </c>
      <c r="H12" s="2" t="s">
        <v>81</v>
      </c>
      <c r="I12" s="2" t="s">
        <v>82</v>
      </c>
      <c r="J12" s="2" t="s">
        <v>83</v>
      </c>
      <c r="K12" s="2" t="s">
        <v>84</v>
      </c>
      <c r="L12" s="12">
        <v>1991</v>
      </c>
      <c r="M12" s="2" t="s">
        <v>85</v>
      </c>
      <c r="N12" s="2" t="s">
        <v>86</v>
      </c>
      <c r="O12" s="2"/>
      <c r="P12">
        <v>2021</v>
      </c>
    </row>
    <row r="13" spans="1:16" ht="187.8" thickBot="1" x14ac:dyDescent="0.35">
      <c r="A13" s="11" t="s">
        <v>87</v>
      </c>
      <c r="B13" s="2" t="s">
        <v>88</v>
      </c>
      <c r="C13" s="12">
        <v>2011</v>
      </c>
      <c r="D13" s="2" t="s">
        <v>89</v>
      </c>
      <c r="E13" s="2" t="s">
        <v>90</v>
      </c>
      <c r="F13" s="2" t="s">
        <v>91</v>
      </c>
      <c r="G13" s="2" t="s">
        <v>92</v>
      </c>
      <c r="H13" s="13" t="s">
        <v>93</v>
      </c>
      <c r="I13" s="2" t="s">
        <v>94</v>
      </c>
      <c r="J13" s="2" t="s">
        <v>83</v>
      </c>
      <c r="K13" s="2" t="s">
        <v>95</v>
      </c>
      <c r="L13" s="12">
        <v>2011</v>
      </c>
      <c r="M13" s="12">
        <v>2017</v>
      </c>
      <c r="N13" s="2" t="s">
        <v>96</v>
      </c>
      <c r="O13" s="13" t="s">
        <v>97</v>
      </c>
      <c r="P13">
        <v>2017</v>
      </c>
    </row>
    <row r="14" spans="1:16" ht="132.6" thickBot="1" x14ac:dyDescent="0.35">
      <c r="A14" s="11" t="s">
        <v>98</v>
      </c>
      <c r="B14" s="2" t="s">
        <v>99</v>
      </c>
      <c r="C14" s="12">
        <v>2004</v>
      </c>
      <c r="D14" s="2" t="s">
        <v>100</v>
      </c>
      <c r="E14" s="2" t="s">
        <v>101</v>
      </c>
      <c r="F14" s="2" t="s">
        <v>102</v>
      </c>
      <c r="G14" s="2" t="s">
        <v>103</v>
      </c>
      <c r="H14" s="2" t="s">
        <v>104</v>
      </c>
      <c r="I14" s="2" t="s">
        <v>105</v>
      </c>
      <c r="J14" s="2" t="s">
        <v>106</v>
      </c>
      <c r="K14" s="2" t="s">
        <v>107</v>
      </c>
      <c r="L14" s="2"/>
      <c r="M14" s="2" t="s">
        <v>108</v>
      </c>
      <c r="N14" s="2"/>
      <c r="O14" s="2"/>
      <c r="P14">
        <v>2019</v>
      </c>
    </row>
    <row r="15" spans="1:16" ht="172.2" thickBot="1" x14ac:dyDescent="0.35">
      <c r="A15" s="11" t="s">
        <v>109</v>
      </c>
      <c r="B15" s="2" t="s">
        <v>110</v>
      </c>
      <c r="C15" s="12">
        <v>2005</v>
      </c>
      <c r="D15" s="2" t="s">
        <v>111</v>
      </c>
      <c r="E15" s="2" t="s">
        <v>112</v>
      </c>
      <c r="F15" s="2" t="s">
        <v>113</v>
      </c>
      <c r="G15" s="2" t="s">
        <v>114</v>
      </c>
      <c r="H15" s="2" t="s">
        <v>115</v>
      </c>
      <c r="I15" s="2" t="s">
        <v>116</v>
      </c>
      <c r="J15" s="2" t="s">
        <v>117</v>
      </c>
      <c r="K15" s="2" t="s">
        <v>118</v>
      </c>
      <c r="L15" s="2"/>
      <c r="M15" s="2"/>
      <c r="N15" s="2"/>
      <c r="O15" s="2"/>
      <c r="P15" t="s">
        <v>119</v>
      </c>
    </row>
    <row r="16" spans="1:16" ht="317.39999999999998" thickBot="1" x14ac:dyDescent="0.35">
      <c r="A16" s="8" t="s">
        <v>120</v>
      </c>
      <c r="B16" s="2" t="s">
        <v>121</v>
      </c>
      <c r="C16" s="9"/>
      <c r="D16" s="2" t="s">
        <v>122</v>
      </c>
      <c r="E16" s="2" t="s">
        <v>123</v>
      </c>
      <c r="F16" s="2" t="s">
        <v>124</v>
      </c>
      <c r="G16" s="2" t="s">
        <v>125</v>
      </c>
      <c r="H16" s="2" t="s">
        <v>126</v>
      </c>
      <c r="I16" s="2" t="s">
        <v>127</v>
      </c>
      <c r="J16" s="2" t="s">
        <v>128</v>
      </c>
      <c r="K16" s="2" t="s">
        <v>129</v>
      </c>
      <c r="L16" s="9"/>
      <c r="M16" s="9"/>
      <c r="N16" s="9"/>
      <c r="O16" s="2"/>
    </row>
    <row r="17" spans="1:16" ht="145.80000000000001" thickBot="1" x14ac:dyDescent="0.35">
      <c r="A17" s="8" t="s">
        <v>130</v>
      </c>
      <c r="B17" s="2" t="s">
        <v>131</v>
      </c>
      <c r="C17" s="2"/>
      <c r="D17" s="2" t="s">
        <v>132</v>
      </c>
      <c r="E17" s="2" t="s">
        <v>133</v>
      </c>
      <c r="F17" s="2" t="s">
        <v>134</v>
      </c>
      <c r="G17" s="2" t="s">
        <v>135</v>
      </c>
      <c r="H17" s="2" t="s">
        <v>136</v>
      </c>
      <c r="I17" s="2" t="s">
        <v>137</v>
      </c>
      <c r="J17" s="2" t="s">
        <v>138</v>
      </c>
      <c r="K17" s="2" t="s">
        <v>139</v>
      </c>
      <c r="L17" s="2"/>
      <c r="M17" s="2"/>
      <c r="N17" s="2"/>
      <c r="O17" s="2"/>
    </row>
    <row r="18" spans="1:16" ht="106.2" thickBot="1" x14ac:dyDescent="0.35">
      <c r="A18" s="8" t="s">
        <v>140</v>
      </c>
      <c r="B18" s="2" t="s">
        <v>141</v>
      </c>
      <c r="C18" s="2"/>
      <c r="D18" s="2"/>
      <c r="E18" s="2"/>
      <c r="F18" s="2"/>
      <c r="G18" s="2" t="s">
        <v>142</v>
      </c>
      <c r="H18" s="2" t="s">
        <v>143</v>
      </c>
      <c r="I18" s="2" t="s">
        <v>144</v>
      </c>
      <c r="J18" s="2" t="s">
        <v>145</v>
      </c>
      <c r="K18" s="2"/>
      <c r="L18" s="2"/>
      <c r="M18" s="2"/>
      <c r="N18" s="2"/>
      <c r="O18" s="2"/>
    </row>
    <row r="19" spans="1:16" ht="15" thickBot="1" x14ac:dyDescent="0.35">
      <c r="A19" s="8" t="s">
        <v>146</v>
      </c>
      <c r="B19" s="2"/>
      <c r="C19" s="2"/>
      <c r="D19" s="2"/>
      <c r="E19" s="2"/>
      <c r="F19" s="2"/>
      <c r="G19" s="2"/>
      <c r="H19" s="2"/>
      <c r="I19" s="2"/>
      <c r="J19" s="2"/>
      <c r="K19" s="2"/>
      <c r="L19" s="2"/>
      <c r="M19" s="2"/>
      <c r="N19" s="2"/>
      <c r="O19" s="2"/>
    </row>
    <row r="20" spans="1:16" ht="409.6" thickBot="1" x14ac:dyDescent="0.35">
      <c r="A20" s="11" t="s">
        <v>147</v>
      </c>
      <c r="B20" s="2" t="s">
        <v>148</v>
      </c>
      <c r="C20" s="12">
        <v>2004</v>
      </c>
      <c r="D20" s="2" t="s">
        <v>149</v>
      </c>
      <c r="E20" s="2" t="s">
        <v>150</v>
      </c>
      <c r="F20" s="2" t="s">
        <v>151</v>
      </c>
      <c r="G20" s="2" t="s">
        <v>152</v>
      </c>
      <c r="H20" s="2" t="s">
        <v>153</v>
      </c>
      <c r="I20" s="2" t="s">
        <v>154</v>
      </c>
      <c r="J20" s="2" t="s">
        <v>155</v>
      </c>
      <c r="K20" s="2" t="s">
        <v>156</v>
      </c>
      <c r="L20" s="12">
        <v>2003</v>
      </c>
      <c r="M20" s="2" t="s">
        <v>157</v>
      </c>
      <c r="N20" s="2" t="s">
        <v>158</v>
      </c>
      <c r="O20" s="2"/>
      <c r="P20">
        <v>2015</v>
      </c>
    </row>
    <row r="21" spans="1:16" ht="159" thickBot="1" x14ac:dyDescent="0.35">
      <c r="A21" s="11" t="s">
        <v>159</v>
      </c>
      <c r="B21" s="2" t="s">
        <v>160</v>
      </c>
      <c r="C21" s="14">
        <v>2007</v>
      </c>
      <c r="D21" s="2" t="s">
        <v>161</v>
      </c>
      <c r="E21" s="2" t="s">
        <v>162</v>
      </c>
      <c r="F21" s="2" t="s">
        <v>26</v>
      </c>
      <c r="G21" s="2" t="s">
        <v>56</v>
      </c>
      <c r="H21" s="2" t="s">
        <v>163</v>
      </c>
      <c r="I21" s="2" t="s">
        <v>164</v>
      </c>
      <c r="J21" s="2" t="s">
        <v>165</v>
      </c>
      <c r="K21" s="2" t="s">
        <v>166</v>
      </c>
      <c r="L21" s="2"/>
      <c r="M21" s="2"/>
      <c r="N21" s="2"/>
      <c r="O21" s="13" t="s">
        <v>167</v>
      </c>
      <c r="P21" t="s">
        <v>168</v>
      </c>
    </row>
    <row r="22" spans="1:16" ht="172.2" thickBot="1" x14ac:dyDescent="0.35">
      <c r="A22" s="8" t="s">
        <v>169</v>
      </c>
      <c r="B22" s="2" t="s">
        <v>170</v>
      </c>
      <c r="C22" s="2"/>
      <c r="D22" s="2"/>
      <c r="E22" s="2" t="s">
        <v>171</v>
      </c>
      <c r="F22" s="2" t="s">
        <v>172</v>
      </c>
      <c r="G22" s="2" t="s">
        <v>56</v>
      </c>
      <c r="H22" s="2" t="s">
        <v>173</v>
      </c>
      <c r="I22" s="2" t="s">
        <v>174</v>
      </c>
      <c r="J22" s="2" t="s">
        <v>175</v>
      </c>
      <c r="K22" s="2" t="s">
        <v>176</v>
      </c>
      <c r="L22" s="2"/>
      <c r="M22" s="2"/>
      <c r="N22" s="2"/>
      <c r="O22" s="2"/>
    </row>
    <row r="23" spans="1:16" ht="119.4" thickBot="1" x14ac:dyDescent="0.35">
      <c r="A23" s="8" t="s">
        <v>177</v>
      </c>
      <c r="B23" s="9" t="s">
        <v>178</v>
      </c>
      <c r="C23" s="9" t="s">
        <v>179</v>
      </c>
      <c r="D23" s="9" t="s">
        <v>180</v>
      </c>
      <c r="E23" s="9" t="s">
        <v>181</v>
      </c>
      <c r="F23" s="9" t="s">
        <v>182</v>
      </c>
      <c r="G23" s="9" t="s">
        <v>183</v>
      </c>
      <c r="H23" s="9" t="s">
        <v>184</v>
      </c>
      <c r="I23" s="9" t="s">
        <v>185</v>
      </c>
      <c r="J23" s="9" t="s">
        <v>186</v>
      </c>
      <c r="K23" s="9" t="s">
        <v>187</v>
      </c>
      <c r="L23" s="9" t="s">
        <v>188</v>
      </c>
      <c r="M23" s="9"/>
      <c r="N23" s="9"/>
      <c r="O23" s="2" t="s">
        <v>189</v>
      </c>
      <c r="P23">
        <v>2022</v>
      </c>
    </row>
    <row r="24" spans="1:16" ht="251.4" thickBot="1" x14ac:dyDescent="0.35">
      <c r="A24" s="8" t="s">
        <v>190</v>
      </c>
      <c r="B24" s="15" t="s">
        <v>191</v>
      </c>
      <c r="C24" s="2"/>
      <c r="D24" s="2" t="s">
        <v>192</v>
      </c>
      <c r="E24" s="2" t="s">
        <v>193</v>
      </c>
      <c r="F24" s="2" t="s">
        <v>194</v>
      </c>
      <c r="G24" s="2" t="s">
        <v>195</v>
      </c>
      <c r="H24" s="2" t="s">
        <v>196</v>
      </c>
      <c r="I24" s="2" t="s">
        <v>197</v>
      </c>
      <c r="J24" s="2" t="s">
        <v>198</v>
      </c>
      <c r="K24" s="2" t="s">
        <v>199</v>
      </c>
      <c r="L24" s="2"/>
      <c r="M24" s="2"/>
      <c r="N24" s="2"/>
      <c r="O24" s="2"/>
    </row>
    <row r="25" spans="1:16" ht="211.8" thickBot="1" x14ac:dyDescent="0.35">
      <c r="A25" s="11" t="s">
        <v>200</v>
      </c>
      <c r="B25" s="2" t="s">
        <v>201</v>
      </c>
      <c r="C25" s="12">
        <v>1999</v>
      </c>
      <c r="D25" s="2" t="s">
        <v>202</v>
      </c>
      <c r="E25" s="2" t="s">
        <v>123</v>
      </c>
      <c r="F25" s="2" t="s">
        <v>203</v>
      </c>
      <c r="G25" s="2" t="s">
        <v>204</v>
      </c>
      <c r="H25" s="2" t="s">
        <v>205</v>
      </c>
      <c r="I25" s="2" t="s">
        <v>206</v>
      </c>
      <c r="J25" s="2" t="s">
        <v>207</v>
      </c>
      <c r="K25" s="2" t="s">
        <v>199</v>
      </c>
      <c r="L25" s="2"/>
      <c r="M25" s="2"/>
      <c r="N25" s="2"/>
      <c r="O25" s="2"/>
      <c r="P25">
        <v>2019</v>
      </c>
    </row>
    <row r="26" spans="1:16" ht="304.2" thickBot="1" x14ac:dyDescent="0.35">
      <c r="A26" s="11" t="s">
        <v>208</v>
      </c>
      <c r="B26" s="2" t="s">
        <v>209</v>
      </c>
      <c r="C26" s="12">
        <v>2006</v>
      </c>
      <c r="D26" s="2" t="s">
        <v>210</v>
      </c>
      <c r="E26" s="2" t="s">
        <v>211</v>
      </c>
      <c r="F26" s="2" t="s">
        <v>172</v>
      </c>
      <c r="G26" s="2" t="s">
        <v>212</v>
      </c>
      <c r="H26" s="2" t="s">
        <v>213</v>
      </c>
      <c r="I26" s="2" t="s">
        <v>214</v>
      </c>
      <c r="J26" s="2" t="s">
        <v>215</v>
      </c>
      <c r="K26" s="2" t="s">
        <v>216</v>
      </c>
      <c r="L26" s="12">
        <v>2006</v>
      </c>
      <c r="M26" s="12">
        <v>2014</v>
      </c>
      <c r="N26" s="2" t="s">
        <v>217</v>
      </c>
      <c r="O26" s="2"/>
      <c r="P26">
        <v>2014</v>
      </c>
    </row>
    <row r="27" spans="1:16" ht="159" thickBot="1" x14ac:dyDescent="0.35">
      <c r="A27" s="8" t="s">
        <v>218</v>
      </c>
      <c r="B27" s="2" t="s">
        <v>219</v>
      </c>
      <c r="C27" s="2" t="s">
        <v>220</v>
      </c>
      <c r="D27" s="2" t="s">
        <v>221</v>
      </c>
      <c r="E27" s="2" t="s">
        <v>222</v>
      </c>
      <c r="F27" s="2" t="s">
        <v>223</v>
      </c>
      <c r="G27" s="2" t="s">
        <v>224</v>
      </c>
      <c r="H27" s="2" t="s">
        <v>225</v>
      </c>
      <c r="I27" s="2" t="s">
        <v>226</v>
      </c>
      <c r="J27" s="2" t="s">
        <v>227</v>
      </c>
      <c r="K27" s="2" t="s">
        <v>228</v>
      </c>
      <c r="L27" s="12">
        <v>2007</v>
      </c>
      <c r="M27" s="2" t="s">
        <v>229</v>
      </c>
      <c r="N27" s="2" t="s">
        <v>230</v>
      </c>
      <c r="O27" s="2" t="s">
        <v>231</v>
      </c>
      <c r="P27">
        <v>2016</v>
      </c>
    </row>
    <row r="28" spans="1:16" ht="93" thickBot="1" x14ac:dyDescent="0.35">
      <c r="A28" s="8" t="s">
        <v>232</v>
      </c>
      <c r="B28" s="2" t="s">
        <v>233</v>
      </c>
      <c r="C28" s="12">
        <v>2012</v>
      </c>
      <c r="D28" s="16" t="s">
        <v>234</v>
      </c>
      <c r="E28" s="2" t="s">
        <v>123</v>
      </c>
      <c r="F28" s="2" t="s">
        <v>235</v>
      </c>
      <c r="G28" s="2" t="s">
        <v>56</v>
      </c>
      <c r="H28" s="2" t="s">
        <v>236</v>
      </c>
      <c r="I28" s="2" t="s">
        <v>197</v>
      </c>
      <c r="J28" s="2" t="s">
        <v>237</v>
      </c>
      <c r="K28" s="2" t="s">
        <v>238</v>
      </c>
      <c r="L28" s="2" t="s">
        <v>239</v>
      </c>
      <c r="M28" s="12">
        <v>2017</v>
      </c>
      <c r="N28" s="2"/>
      <c r="O28" s="2"/>
      <c r="P28">
        <v>2017</v>
      </c>
    </row>
    <row r="29" spans="1:16" ht="93" thickBot="1" x14ac:dyDescent="0.35">
      <c r="A29" s="8" t="s">
        <v>240</v>
      </c>
      <c r="B29" s="2" t="s">
        <v>241</v>
      </c>
      <c r="C29" s="2">
        <v>2011</v>
      </c>
      <c r="D29" s="2" t="s">
        <v>242</v>
      </c>
      <c r="E29" s="2" t="s">
        <v>90</v>
      </c>
      <c r="F29" s="2" t="s">
        <v>243</v>
      </c>
      <c r="G29" s="2" t="s">
        <v>244</v>
      </c>
      <c r="H29" s="2" t="s">
        <v>245</v>
      </c>
      <c r="I29" s="2" t="s">
        <v>246</v>
      </c>
      <c r="J29" s="2" t="s">
        <v>247</v>
      </c>
      <c r="K29" s="2" t="s">
        <v>248</v>
      </c>
      <c r="L29" s="2"/>
      <c r="M29" s="2"/>
      <c r="N29" s="2"/>
      <c r="O29" s="2"/>
    </row>
    <row r="30" spans="1:16" ht="251.4" thickBot="1" x14ac:dyDescent="0.35">
      <c r="A30" s="11" t="s">
        <v>249</v>
      </c>
      <c r="B30" s="2" t="s">
        <v>250</v>
      </c>
      <c r="C30" s="2" t="s">
        <v>251</v>
      </c>
      <c r="D30" s="2" t="s">
        <v>252</v>
      </c>
      <c r="E30" s="2" t="s">
        <v>253</v>
      </c>
      <c r="F30" s="2" t="s">
        <v>254</v>
      </c>
      <c r="G30" s="2" t="s">
        <v>255</v>
      </c>
      <c r="H30" s="2" t="s">
        <v>256</v>
      </c>
      <c r="I30" s="2" t="s">
        <v>257</v>
      </c>
      <c r="J30" s="2" t="s">
        <v>258</v>
      </c>
      <c r="K30" s="2" t="s">
        <v>259</v>
      </c>
      <c r="L30" s="2"/>
      <c r="M30" s="2"/>
      <c r="N30" s="2"/>
      <c r="O30" s="2"/>
      <c r="P30">
        <v>2006</v>
      </c>
    </row>
    <row r="31" spans="1:16" ht="389.4" thickBot="1" x14ac:dyDescent="0.35">
      <c r="A31" s="8" t="s">
        <v>260</v>
      </c>
      <c r="B31" s="2" t="s">
        <v>261</v>
      </c>
      <c r="C31" s="17" t="s">
        <v>262</v>
      </c>
      <c r="D31" s="17" t="s">
        <v>263</v>
      </c>
      <c r="E31" s="17" t="s">
        <v>264</v>
      </c>
      <c r="F31" s="18" t="s">
        <v>265</v>
      </c>
      <c r="G31" s="17" t="s">
        <v>266</v>
      </c>
      <c r="H31" s="17" t="s">
        <v>267</v>
      </c>
      <c r="I31" s="17" t="s">
        <v>268</v>
      </c>
      <c r="J31" s="17" t="s">
        <v>269</v>
      </c>
      <c r="K31" s="17" t="s">
        <v>270</v>
      </c>
      <c r="L31" s="2" t="s">
        <v>271</v>
      </c>
      <c r="M31" s="2" t="s">
        <v>272</v>
      </c>
      <c r="N31" s="2" t="s">
        <v>273</v>
      </c>
      <c r="O31" s="2"/>
      <c r="P31">
        <v>2012</v>
      </c>
    </row>
    <row r="32" spans="1:16" ht="93" thickBot="1" x14ac:dyDescent="0.35">
      <c r="A32" s="8" t="s">
        <v>274</v>
      </c>
      <c r="B32" t="s">
        <v>275</v>
      </c>
      <c r="C32" s="17">
        <v>2004</v>
      </c>
      <c r="D32" s="17"/>
      <c r="E32" s="17"/>
      <c r="F32" s="18" t="s">
        <v>276</v>
      </c>
      <c r="G32" s="17" t="s">
        <v>56</v>
      </c>
      <c r="H32" s="17" t="s">
        <v>277</v>
      </c>
      <c r="I32" s="17" t="s">
        <v>278</v>
      </c>
      <c r="J32" s="17"/>
      <c r="K32" s="17"/>
      <c r="L32" s="2">
        <v>2004</v>
      </c>
      <c r="M32" s="2"/>
      <c r="N32" s="2"/>
      <c r="O32" s="2"/>
    </row>
    <row r="33" spans="1:16" ht="409.6" thickBot="1" x14ac:dyDescent="0.35">
      <c r="A33" s="8" t="s">
        <v>279</v>
      </c>
      <c r="B33" s="2" t="s">
        <v>280</v>
      </c>
      <c r="C33" s="19">
        <v>2004</v>
      </c>
      <c r="D33" s="17" t="s">
        <v>281</v>
      </c>
      <c r="E33" s="17" t="s">
        <v>253</v>
      </c>
      <c r="F33" s="17" t="s">
        <v>282</v>
      </c>
      <c r="G33" s="17" t="s">
        <v>283</v>
      </c>
      <c r="H33" s="17" t="s">
        <v>284</v>
      </c>
      <c r="I33" s="17" t="s">
        <v>285</v>
      </c>
      <c r="J33" s="17" t="s">
        <v>286</v>
      </c>
      <c r="K33" s="17" t="s">
        <v>270</v>
      </c>
      <c r="L33" s="12">
        <v>2004</v>
      </c>
      <c r="M33" s="2" t="s">
        <v>287</v>
      </c>
      <c r="N33" s="2" t="s">
        <v>288</v>
      </c>
      <c r="O33" s="2"/>
      <c r="P33">
        <v>2015</v>
      </c>
    </row>
    <row r="34" spans="1:16" ht="89.25" customHeight="1" thickBot="1" x14ac:dyDescent="0.35">
      <c r="A34" s="8" t="s">
        <v>289</v>
      </c>
      <c r="B34" s="2" t="s">
        <v>290</v>
      </c>
      <c r="C34" s="19">
        <v>2004</v>
      </c>
      <c r="D34" s="17"/>
      <c r="E34" s="17"/>
      <c r="F34" s="17" t="s">
        <v>276</v>
      </c>
      <c r="G34" s="17" t="s">
        <v>291</v>
      </c>
      <c r="H34" s="17"/>
      <c r="I34" s="17" t="s">
        <v>292</v>
      </c>
      <c r="J34" s="17"/>
      <c r="K34" s="17"/>
      <c r="L34" s="12"/>
      <c r="M34" s="2">
        <v>2015</v>
      </c>
      <c r="N34" s="2"/>
      <c r="O34" s="2"/>
    </row>
    <row r="35" spans="1:16" ht="198.6" thickBot="1" x14ac:dyDescent="0.35">
      <c r="A35" s="11" t="s">
        <v>293</v>
      </c>
      <c r="B35" s="2" t="s">
        <v>294</v>
      </c>
      <c r="C35" s="9" t="s">
        <v>295</v>
      </c>
      <c r="D35" s="2" t="s">
        <v>296</v>
      </c>
      <c r="E35" s="2" t="s">
        <v>297</v>
      </c>
      <c r="F35" s="2" t="s">
        <v>298</v>
      </c>
      <c r="G35" s="2" t="s">
        <v>56</v>
      </c>
      <c r="H35" s="2" t="s">
        <v>299</v>
      </c>
      <c r="I35" s="2" t="s">
        <v>300</v>
      </c>
      <c r="J35" s="2" t="s">
        <v>301</v>
      </c>
      <c r="K35" s="2" t="s">
        <v>302</v>
      </c>
      <c r="L35" s="2"/>
      <c r="M35" s="2"/>
      <c r="N35" s="2"/>
      <c r="O35" s="20" t="s">
        <v>303</v>
      </c>
      <c r="P35">
        <v>2013</v>
      </c>
    </row>
    <row r="36" spans="1:16" ht="409.6" thickBot="1" x14ac:dyDescent="0.35">
      <c r="A36" s="11" t="s">
        <v>304</v>
      </c>
      <c r="B36" s="2" t="s">
        <v>305</v>
      </c>
      <c r="C36" s="2" t="s">
        <v>306</v>
      </c>
      <c r="D36" s="2" t="s">
        <v>307</v>
      </c>
      <c r="E36" s="2" t="s">
        <v>308</v>
      </c>
      <c r="F36" s="2" t="s">
        <v>26</v>
      </c>
      <c r="G36" s="2" t="s">
        <v>309</v>
      </c>
      <c r="H36" s="2" t="s">
        <v>310</v>
      </c>
      <c r="I36" s="2"/>
      <c r="J36" s="2" t="s">
        <v>311</v>
      </c>
      <c r="K36" s="2" t="s">
        <v>312</v>
      </c>
      <c r="L36" s="12">
        <v>2005</v>
      </c>
      <c r="M36" s="12">
        <v>2021</v>
      </c>
      <c r="N36" s="2" t="s">
        <v>313</v>
      </c>
      <c r="O36" s="2"/>
      <c r="P36">
        <v>2021</v>
      </c>
    </row>
    <row r="37" spans="1:16" ht="15" thickBot="1" x14ac:dyDescent="0.35">
      <c r="A37" s="11"/>
      <c r="B37" s="2"/>
      <c r="C37" s="2"/>
      <c r="D37" s="2"/>
      <c r="E37" s="2"/>
      <c r="F37" s="2"/>
      <c r="G37" s="2"/>
      <c r="H37" s="2"/>
      <c r="I37" s="2"/>
      <c r="J37" s="2"/>
      <c r="K37" s="2"/>
      <c r="L37" s="12"/>
      <c r="M37" s="12"/>
      <c r="N37" s="2"/>
      <c r="O37" s="2"/>
    </row>
    <row r="38" spans="1:16" ht="15" thickBot="1" x14ac:dyDescent="0.35">
      <c r="A38" s="11"/>
      <c r="B38" s="2"/>
      <c r="C38" s="2"/>
      <c r="D38" s="2"/>
      <c r="E38" s="2"/>
      <c r="F38" s="2"/>
      <c r="G38" s="2"/>
      <c r="H38" s="2"/>
      <c r="I38" s="2"/>
      <c r="J38" s="2"/>
      <c r="K38" s="2"/>
      <c r="L38" s="12"/>
      <c r="M38" s="12"/>
      <c r="N38" s="2"/>
      <c r="O38" s="2"/>
    </row>
    <row r="39" spans="1:16" ht="15" thickBot="1" x14ac:dyDescent="0.35">
      <c r="A39" s="11"/>
      <c r="B39" s="2"/>
      <c r="C39" s="2"/>
      <c r="D39" s="2"/>
      <c r="E39" s="2"/>
      <c r="F39" s="2"/>
      <c r="G39" s="2"/>
      <c r="H39" s="2"/>
      <c r="I39" s="2"/>
      <c r="J39" s="2"/>
      <c r="K39" s="2"/>
      <c r="L39" s="12"/>
      <c r="M39" s="12"/>
      <c r="N39" s="2"/>
      <c r="O39" s="2"/>
    </row>
    <row r="40" spans="1:16" ht="15" thickBot="1" x14ac:dyDescent="0.35">
      <c r="A40" s="11"/>
      <c r="B40" s="2"/>
      <c r="C40" s="2"/>
      <c r="D40" s="2"/>
      <c r="E40" s="2"/>
      <c r="F40" s="2"/>
      <c r="G40" s="2"/>
      <c r="H40" s="2"/>
      <c r="I40" s="2"/>
      <c r="J40" s="2"/>
      <c r="K40" s="2"/>
      <c r="L40" s="12"/>
      <c r="M40" s="12"/>
      <c r="N40" s="2"/>
      <c r="O40" s="2"/>
    </row>
    <row r="41" spans="1:16" ht="15" thickBot="1" x14ac:dyDescent="0.35">
      <c r="A41" s="11"/>
      <c r="B41" s="2"/>
      <c r="C41" s="2"/>
      <c r="D41" s="2"/>
      <c r="E41" s="2"/>
      <c r="F41" s="2"/>
      <c r="G41" s="2"/>
      <c r="H41" s="2"/>
      <c r="I41" s="2"/>
      <c r="J41" s="2"/>
      <c r="K41" s="2"/>
      <c r="L41" s="12"/>
      <c r="M41" s="12"/>
      <c r="N41" s="2"/>
      <c r="O41" s="2"/>
    </row>
    <row r="42" spans="1:16" ht="15" thickBot="1" x14ac:dyDescent="0.35">
      <c r="A42" s="11"/>
      <c r="B42" s="2"/>
      <c r="C42" s="2"/>
      <c r="D42" s="2"/>
      <c r="E42" s="2"/>
      <c r="F42" s="2"/>
      <c r="G42" s="2"/>
      <c r="H42" s="2"/>
      <c r="I42" s="2"/>
      <c r="J42" s="2"/>
      <c r="K42" s="2"/>
      <c r="L42" s="12"/>
      <c r="M42" s="12"/>
      <c r="N42" s="2"/>
      <c r="O42" s="2"/>
    </row>
    <row r="43" spans="1:16" ht="15" thickBot="1" x14ac:dyDescent="0.35">
      <c r="A43" s="11"/>
      <c r="B43" s="2"/>
      <c r="C43" s="2"/>
      <c r="D43" s="2"/>
      <c r="E43" s="2"/>
      <c r="F43" s="2"/>
      <c r="G43" s="2"/>
      <c r="H43" s="2"/>
      <c r="I43" s="2"/>
      <c r="J43" s="2"/>
      <c r="K43" s="2"/>
      <c r="L43" s="12"/>
      <c r="M43" s="12"/>
      <c r="N43" s="2"/>
      <c r="O43" s="2"/>
    </row>
    <row r="44" spans="1:16" ht="15" thickBot="1" x14ac:dyDescent="0.35">
      <c r="A44" s="11"/>
      <c r="B44" s="2"/>
      <c r="C44" s="2"/>
      <c r="D44" s="2"/>
      <c r="E44" s="2"/>
      <c r="F44" s="2"/>
      <c r="G44" s="2"/>
      <c r="H44" s="2"/>
      <c r="I44" s="2"/>
      <c r="J44" s="2"/>
      <c r="K44" s="2"/>
      <c r="L44" s="12"/>
      <c r="M44" s="12"/>
      <c r="N44" s="2"/>
      <c r="O44" s="2"/>
    </row>
    <row r="45" spans="1:16" ht="15" thickBot="1" x14ac:dyDescent="0.35">
      <c r="A45" s="11"/>
      <c r="B45" s="2"/>
      <c r="C45" s="2"/>
      <c r="D45" s="2"/>
      <c r="E45" s="2"/>
      <c r="F45" s="2"/>
      <c r="G45" s="2"/>
      <c r="H45" s="2"/>
      <c r="I45" s="2"/>
      <c r="J45" s="2"/>
      <c r="K45" s="2"/>
      <c r="L45" s="12"/>
      <c r="M45" s="12"/>
      <c r="N45" s="2"/>
      <c r="O45" s="2"/>
    </row>
    <row r="46" spans="1:16" ht="15" thickBot="1" x14ac:dyDescent="0.35">
      <c r="A46" s="11"/>
      <c r="B46" s="2"/>
      <c r="C46" s="2"/>
      <c r="D46" s="2"/>
      <c r="E46" s="2"/>
      <c r="F46" s="2"/>
      <c r="G46" s="2"/>
      <c r="H46" s="2"/>
      <c r="I46" s="2"/>
      <c r="J46" s="2"/>
      <c r="K46" s="2"/>
      <c r="L46" s="12"/>
      <c r="M46" s="12"/>
      <c r="N46" s="2"/>
      <c r="O46" s="2"/>
    </row>
    <row r="47" spans="1:16" ht="15" thickBot="1" x14ac:dyDescent="0.35">
      <c r="A47" s="11"/>
      <c r="B47" s="2"/>
      <c r="C47" s="2"/>
      <c r="D47" s="2"/>
      <c r="E47" s="2"/>
      <c r="F47" s="2"/>
      <c r="G47" s="2"/>
      <c r="H47" s="2"/>
      <c r="I47" s="2"/>
      <c r="J47" s="2"/>
      <c r="K47" s="2"/>
      <c r="L47" s="12"/>
      <c r="M47" s="12"/>
      <c r="N47" s="2"/>
      <c r="O47" s="2"/>
    </row>
    <row r="48" spans="1:16" ht="15" thickBot="1" x14ac:dyDescent="0.35">
      <c r="A48" s="8" t="s">
        <v>314</v>
      </c>
      <c r="B48" s="2"/>
      <c r="C48" s="2"/>
      <c r="D48" s="2"/>
      <c r="E48" s="2"/>
      <c r="F48" s="2"/>
      <c r="G48" s="2"/>
      <c r="H48" s="2"/>
      <c r="I48" s="2"/>
      <c r="J48" s="2"/>
      <c r="K48" s="2"/>
      <c r="L48" s="2"/>
      <c r="M48" s="2"/>
      <c r="N48" s="2"/>
      <c r="O48" s="2"/>
    </row>
    <row r="49" spans="1:16" ht="409.6" thickBot="1" x14ac:dyDescent="0.35">
      <c r="A49" s="11" t="s">
        <v>315</v>
      </c>
      <c r="B49" s="2" t="s">
        <v>316</v>
      </c>
      <c r="C49" s="21" t="s">
        <v>317</v>
      </c>
      <c r="D49" s="2" t="s">
        <v>318</v>
      </c>
      <c r="E49" s="2" t="s">
        <v>319</v>
      </c>
      <c r="F49" s="2" t="s">
        <v>320</v>
      </c>
      <c r="G49" s="2" t="s">
        <v>321</v>
      </c>
      <c r="H49" s="2" t="s">
        <v>322</v>
      </c>
      <c r="I49" s="2" t="s">
        <v>323</v>
      </c>
      <c r="J49" s="2" t="s">
        <v>324</v>
      </c>
      <c r="K49" s="2" t="s">
        <v>325</v>
      </c>
      <c r="L49" s="21" t="s">
        <v>326</v>
      </c>
      <c r="M49" s="2"/>
      <c r="N49" s="2"/>
      <c r="O49" s="21" t="s">
        <v>327</v>
      </c>
      <c r="P49">
        <v>2012</v>
      </c>
    </row>
  </sheetData>
  <mergeCells count="5">
    <mergeCell ref="B1:O1"/>
    <mergeCell ref="B2:O2"/>
    <mergeCell ref="B4:K4"/>
    <mergeCell ref="M4:N4"/>
    <mergeCell ref="O4:O5"/>
  </mergeCells>
  <hyperlinks>
    <hyperlink ref="B11" r:id="rId1" xr:uid="{766DDC8D-35FC-4683-9031-6908FFA59875}"/>
    <hyperlink ref="B12" r:id="rId2" xr:uid="{E489B232-889D-4AFE-A609-4A76EB64065D}"/>
    <hyperlink ref="H13" r:id="rId3" xr:uid="{948E8D42-3740-4F0F-9060-609D77789B2A}"/>
    <hyperlink ref="O13" r:id="rId4" xr:uid="{3A4E3817-6389-49F3-B8C9-90447FED094E}"/>
    <hyperlink ref="O21" r:id="rId5" xr:uid="{993DDE13-9550-4FAF-9552-FB20DCBC7AD2}"/>
    <hyperlink ref="F31" r:id="rId6" xr:uid="{F33E0A72-E5E0-4929-AE74-4574CDA47584}"/>
    <hyperlink ref="O35" r:id="rId7" xr:uid="{FE9D56E1-6EC6-4A57-8C53-42C1CA03C5A8}"/>
  </hyperlinks>
  <pageMargins left="0.70000000000000007" right="0.70000000000000007" top="0.75" bottom="0.75" header="0.30000000000000004" footer="0.30000000000000004"/>
  <pageSetup paperSize="0"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E90ED-4C9C-4B39-80C5-92DCCE9108F8}">
  <dimension ref="A1:R84"/>
  <sheetViews>
    <sheetView tabSelected="1" topLeftCell="A44" zoomScale="70" zoomScaleNormal="70" workbookViewId="0">
      <selection activeCell="T14" sqref="T14"/>
    </sheetView>
  </sheetViews>
  <sheetFormatPr defaultColWidth="11.109375" defaultRowHeight="14.4" x14ac:dyDescent="0.3"/>
  <cols>
    <col min="1" max="9" width="11.109375" customWidth="1"/>
    <col min="10" max="10" width="29.33203125" customWidth="1"/>
    <col min="11" max="11" width="21.33203125" customWidth="1"/>
    <col min="12" max="12" width="13.44140625" customWidth="1"/>
    <col min="13" max="13" width="11.109375" customWidth="1"/>
    <col min="14" max="14" width="16.33203125" customWidth="1"/>
    <col min="15" max="15" width="11.109375" customWidth="1"/>
  </cols>
  <sheetData>
    <row r="1" spans="1:16" ht="30" customHeight="1" thickBot="1" x14ac:dyDescent="0.35">
      <c r="A1" s="1"/>
      <c r="B1" s="68" t="s">
        <v>328</v>
      </c>
      <c r="C1" s="68"/>
      <c r="D1" s="68"/>
      <c r="E1" s="68"/>
      <c r="F1" s="68"/>
      <c r="G1" s="68"/>
      <c r="H1" s="68"/>
      <c r="I1" s="68"/>
      <c r="J1" s="68"/>
      <c r="K1" s="68"/>
      <c r="L1" s="68"/>
      <c r="M1" s="68"/>
      <c r="N1" s="68"/>
      <c r="O1" s="68"/>
    </row>
    <row r="2" spans="1:16" ht="1.5" customHeight="1" thickBot="1" x14ac:dyDescent="0.35">
      <c r="A2" s="22"/>
      <c r="B2" s="69" t="s">
        <v>1</v>
      </c>
      <c r="C2" s="69"/>
      <c r="D2" s="69"/>
      <c r="E2" s="69"/>
      <c r="F2" s="69"/>
      <c r="G2" s="69"/>
      <c r="H2" s="69"/>
      <c r="I2" s="69"/>
      <c r="J2" s="69"/>
      <c r="K2" s="69"/>
      <c r="L2" s="69"/>
      <c r="M2" s="69"/>
      <c r="N2" s="69"/>
      <c r="O2" s="1"/>
    </row>
    <row r="3" spans="1:16" ht="3" customHeight="1" thickBot="1" x14ac:dyDescent="0.35">
      <c r="A3" s="22"/>
      <c r="B3" s="1"/>
      <c r="C3" s="1"/>
      <c r="D3" s="1"/>
      <c r="E3" s="1"/>
      <c r="F3" s="1"/>
      <c r="G3" s="1"/>
      <c r="H3" s="1"/>
      <c r="I3" s="1"/>
      <c r="J3" s="1"/>
      <c r="K3" s="1"/>
      <c r="L3" s="1"/>
      <c r="M3" s="1"/>
      <c r="N3" s="1"/>
      <c r="O3" s="1"/>
    </row>
    <row r="4" spans="1:16" ht="15" thickBot="1" x14ac:dyDescent="0.35">
      <c r="A4" s="23"/>
      <c r="B4" s="70" t="s">
        <v>329</v>
      </c>
      <c r="C4" s="70"/>
      <c r="D4" s="70"/>
      <c r="E4" s="70"/>
      <c r="F4" s="70"/>
      <c r="G4" s="70"/>
      <c r="H4" s="70"/>
      <c r="I4" s="70"/>
      <c r="J4" s="70"/>
      <c r="K4" s="71" t="s">
        <v>330</v>
      </c>
      <c r="L4" s="71"/>
      <c r="M4" s="71"/>
      <c r="N4" s="71"/>
      <c r="O4" s="67" t="s">
        <v>5</v>
      </c>
    </row>
    <row r="5" spans="1:16" ht="92.25" customHeight="1" thickBot="1" x14ac:dyDescent="0.35">
      <c r="A5" s="23" t="s">
        <v>6</v>
      </c>
      <c r="B5" s="24" t="s">
        <v>331</v>
      </c>
      <c r="C5" s="24" t="s">
        <v>332</v>
      </c>
      <c r="D5" s="24" t="s">
        <v>333</v>
      </c>
      <c r="E5" s="24" t="s">
        <v>334</v>
      </c>
      <c r="F5" s="24" t="s">
        <v>11</v>
      </c>
      <c r="G5" s="24" t="s">
        <v>335</v>
      </c>
      <c r="H5" s="24" t="s">
        <v>336</v>
      </c>
      <c r="I5" s="24" t="s">
        <v>337</v>
      </c>
      <c r="J5" s="24" t="s">
        <v>338</v>
      </c>
      <c r="K5" s="25" t="s">
        <v>339</v>
      </c>
      <c r="L5" s="25" t="s">
        <v>340</v>
      </c>
      <c r="M5" s="25" t="s">
        <v>341</v>
      </c>
      <c r="N5" s="25" t="s">
        <v>342</v>
      </c>
      <c r="O5" s="67"/>
      <c r="P5" s="26" t="s">
        <v>343</v>
      </c>
    </row>
    <row r="6" spans="1:16" ht="15" thickBot="1" x14ac:dyDescent="0.35">
      <c r="A6" s="8" t="s">
        <v>21</v>
      </c>
      <c r="B6" s="1"/>
      <c r="C6" s="1"/>
      <c r="D6" s="1"/>
      <c r="E6" s="1"/>
      <c r="F6" s="1"/>
      <c r="G6" s="1"/>
      <c r="H6" s="1"/>
      <c r="I6" s="1"/>
      <c r="J6" s="1"/>
      <c r="K6" s="1"/>
      <c r="L6" s="1"/>
      <c r="M6" s="1"/>
      <c r="N6" s="1"/>
      <c r="O6" s="1"/>
    </row>
    <row r="7" spans="1:16" ht="15" thickBot="1" x14ac:dyDescent="0.35">
      <c r="A7" s="27" t="s">
        <v>344</v>
      </c>
      <c r="B7" s="1"/>
      <c r="C7" s="1"/>
      <c r="D7" s="1"/>
      <c r="E7" s="1"/>
      <c r="F7" s="1"/>
      <c r="G7" s="1"/>
      <c r="H7" s="1"/>
      <c r="I7" s="1"/>
      <c r="J7" s="1"/>
      <c r="K7" s="1"/>
      <c r="L7" s="1"/>
      <c r="M7" s="1"/>
      <c r="N7" s="1"/>
      <c r="O7" s="1"/>
    </row>
    <row r="8" spans="1:16" ht="409.6" thickBot="1" x14ac:dyDescent="0.35">
      <c r="A8" s="8" t="s">
        <v>22</v>
      </c>
      <c r="B8" s="1"/>
      <c r="C8" s="1"/>
      <c r="D8" s="1">
        <v>2017</v>
      </c>
      <c r="E8" s="1"/>
      <c r="F8" s="1"/>
      <c r="G8" s="1"/>
      <c r="H8" s="1"/>
      <c r="I8" s="1"/>
      <c r="J8" s="1" t="s">
        <v>345</v>
      </c>
      <c r="K8" s="1" t="s">
        <v>346</v>
      </c>
      <c r="L8" s="1" t="s">
        <v>347</v>
      </c>
      <c r="M8" s="1" t="s">
        <v>347</v>
      </c>
      <c r="N8" s="1" t="s">
        <v>347</v>
      </c>
      <c r="O8" s="28" t="s">
        <v>348</v>
      </c>
    </row>
    <row r="9" spans="1:16" ht="15" thickBot="1" x14ac:dyDescent="0.35">
      <c r="A9" s="27" t="s">
        <v>349</v>
      </c>
      <c r="B9" s="1"/>
      <c r="C9" s="1"/>
      <c r="D9" s="1"/>
      <c r="E9" s="1"/>
      <c r="F9" s="1"/>
      <c r="G9" s="1"/>
      <c r="H9" s="1"/>
      <c r="I9" s="1"/>
      <c r="J9" s="1"/>
      <c r="K9" s="1"/>
      <c r="L9" s="1"/>
      <c r="M9" s="1"/>
      <c r="N9" s="1"/>
      <c r="O9" s="1"/>
    </row>
    <row r="10" spans="1:16" ht="146.4" thickBot="1" x14ac:dyDescent="0.35">
      <c r="A10" s="8" t="s">
        <v>32</v>
      </c>
      <c r="B10" s="1"/>
      <c r="C10" s="29" t="s">
        <v>350</v>
      </c>
      <c r="D10" s="1"/>
      <c r="E10" s="29" t="s">
        <v>351</v>
      </c>
      <c r="F10" s="1"/>
      <c r="G10" s="1"/>
      <c r="H10" s="1"/>
      <c r="I10" s="1"/>
      <c r="J10" s="29" t="s">
        <v>352</v>
      </c>
      <c r="K10" s="1"/>
      <c r="L10" s="1" t="s">
        <v>346</v>
      </c>
      <c r="M10" s="1"/>
      <c r="N10" s="1"/>
      <c r="O10" s="1"/>
    </row>
    <row r="11" spans="1:16" ht="15" thickBot="1" x14ac:dyDescent="0.35">
      <c r="A11" s="27" t="s">
        <v>353</v>
      </c>
      <c r="B11" s="1"/>
      <c r="C11" s="1"/>
      <c r="D11" s="1"/>
      <c r="E11" s="1"/>
      <c r="F11" s="1"/>
      <c r="G11" s="1"/>
      <c r="H11" s="1"/>
      <c r="I11" s="1"/>
      <c r="J11" s="1"/>
      <c r="K11" s="1"/>
      <c r="L11" s="1"/>
      <c r="M11" s="1"/>
      <c r="N11" s="1"/>
      <c r="O11" s="1"/>
    </row>
    <row r="12" spans="1:16" ht="93" customHeight="1" thickBot="1" x14ac:dyDescent="0.35">
      <c r="A12" s="8" t="s">
        <v>42</v>
      </c>
      <c r="B12" s="1" t="s">
        <v>354</v>
      </c>
      <c r="C12" s="1" t="s">
        <v>43</v>
      </c>
      <c r="D12" s="1"/>
      <c r="E12" s="1" t="s">
        <v>355</v>
      </c>
      <c r="F12" s="1"/>
      <c r="G12" s="1"/>
      <c r="H12" s="1"/>
      <c r="I12" s="1"/>
      <c r="J12" t="s">
        <v>356</v>
      </c>
      <c r="K12" s="1" t="s">
        <v>357</v>
      </c>
      <c r="L12" s="1"/>
      <c r="M12" s="1"/>
      <c r="N12" s="1"/>
      <c r="O12" s="1"/>
    </row>
    <row r="13" spans="1:16" ht="38.4" thickBot="1" x14ac:dyDescent="0.35">
      <c r="A13" s="8" t="s">
        <v>51</v>
      </c>
      <c r="B13" s="1" t="s">
        <v>358</v>
      </c>
      <c r="C13" s="1"/>
      <c r="D13" s="1"/>
      <c r="E13" s="1"/>
      <c r="F13" s="1"/>
      <c r="G13" s="1"/>
      <c r="H13" s="1"/>
      <c r="I13" s="1"/>
      <c r="J13" s="1"/>
      <c r="K13" s="1"/>
      <c r="L13" s="1"/>
      <c r="M13" s="1"/>
      <c r="N13" s="1"/>
      <c r="O13" s="1"/>
    </row>
    <row r="14" spans="1:16" ht="25.8" thickBot="1" x14ac:dyDescent="0.35">
      <c r="A14" s="8" t="s">
        <v>64</v>
      </c>
      <c r="B14" s="1"/>
      <c r="C14" s="1"/>
      <c r="D14" s="1">
        <v>2003</v>
      </c>
      <c r="E14" s="1"/>
      <c r="F14" s="1"/>
      <c r="G14" s="1"/>
      <c r="H14" s="1"/>
      <c r="I14" s="1"/>
      <c r="J14" s="1"/>
      <c r="K14" s="1"/>
      <c r="L14" s="1"/>
      <c r="M14" s="1"/>
      <c r="N14" s="1"/>
      <c r="O14" s="1"/>
    </row>
    <row r="15" spans="1:16" ht="27.6" thickBot="1" x14ac:dyDescent="0.35">
      <c r="A15" s="8" t="s">
        <v>75</v>
      </c>
      <c r="B15" s="1" t="s">
        <v>358</v>
      </c>
      <c r="C15" s="1"/>
      <c r="D15" s="1"/>
      <c r="E15" s="1"/>
      <c r="F15" s="1"/>
      <c r="G15" s="1"/>
      <c r="H15" s="1"/>
      <c r="I15" s="1"/>
      <c r="J15" s="1"/>
      <c r="K15" s="1"/>
      <c r="L15" s="1"/>
      <c r="M15" s="1"/>
      <c r="N15" s="1"/>
      <c r="O15" s="1"/>
    </row>
    <row r="16" spans="1:16" ht="25.8" thickBot="1" x14ac:dyDescent="0.35">
      <c r="A16" s="27" t="s">
        <v>359</v>
      </c>
      <c r="B16" s="1"/>
      <c r="C16" s="1"/>
      <c r="D16" s="1"/>
      <c r="E16" s="1"/>
      <c r="F16" s="1"/>
      <c r="G16" s="1"/>
      <c r="H16" s="1"/>
      <c r="I16" s="1"/>
      <c r="J16" s="1"/>
      <c r="K16" s="1"/>
      <c r="L16" s="1"/>
      <c r="M16" s="1"/>
      <c r="N16" s="1"/>
      <c r="O16" s="1"/>
    </row>
    <row r="17" spans="1:15" ht="15" thickBot="1" x14ac:dyDescent="0.35">
      <c r="A17" s="27" t="s">
        <v>360</v>
      </c>
      <c r="B17" s="1"/>
      <c r="C17" s="1"/>
      <c r="D17" s="28" t="s">
        <v>361</v>
      </c>
      <c r="E17" s="1"/>
      <c r="F17" s="1"/>
      <c r="G17" s="1"/>
      <c r="H17" s="1"/>
      <c r="I17" s="1"/>
      <c r="J17" s="1"/>
      <c r="K17" s="1"/>
      <c r="L17" s="1"/>
      <c r="M17" s="1"/>
      <c r="N17" s="1"/>
      <c r="O17" s="1"/>
    </row>
    <row r="18" spans="1:15" ht="15" thickBot="1" x14ac:dyDescent="0.35">
      <c r="A18" s="27" t="s">
        <v>362</v>
      </c>
      <c r="B18" s="1"/>
      <c r="C18" s="1"/>
      <c r="D18" s="1"/>
      <c r="E18" s="1"/>
      <c r="F18" s="1"/>
      <c r="G18" s="1"/>
      <c r="H18" s="1"/>
      <c r="I18" s="1"/>
      <c r="J18" s="1"/>
      <c r="K18" s="1"/>
      <c r="L18" s="1"/>
      <c r="M18" s="1"/>
      <c r="N18" s="1"/>
      <c r="O18" s="1"/>
    </row>
    <row r="19" spans="1:15" ht="15" thickBot="1" x14ac:dyDescent="0.35">
      <c r="A19" s="27" t="s">
        <v>363</v>
      </c>
      <c r="B19" s="1"/>
      <c r="C19" s="1"/>
      <c r="D19" s="1"/>
      <c r="E19" s="1"/>
      <c r="F19" s="1"/>
      <c r="G19" s="1"/>
      <c r="H19" s="1"/>
      <c r="I19" s="1"/>
      <c r="J19" s="1"/>
      <c r="K19" s="1"/>
      <c r="L19" s="1"/>
      <c r="M19" s="1"/>
      <c r="N19" s="1"/>
      <c r="O19" s="1"/>
    </row>
    <row r="20" spans="1:15" ht="15" thickBot="1" x14ac:dyDescent="0.35">
      <c r="A20" s="27" t="s">
        <v>364</v>
      </c>
      <c r="B20" s="1"/>
      <c r="C20" s="1"/>
      <c r="D20" s="1"/>
      <c r="E20" s="1"/>
      <c r="F20" s="1"/>
      <c r="G20" s="1"/>
      <c r="H20" s="1"/>
      <c r="I20" s="1"/>
      <c r="J20" s="1"/>
      <c r="K20" s="1"/>
      <c r="L20" s="1"/>
      <c r="M20" s="1"/>
      <c r="N20" s="1"/>
      <c r="O20" s="1"/>
    </row>
    <row r="21" spans="1:15" ht="27.6" thickBot="1" x14ac:dyDescent="0.35">
      <c r="A21" s="8" t="s">
        <v>87</v>
      </c>
      <c r="B21" s="1" t="s">
        <v>358</v>
      </c>
      <c r="C21" s="1"/>
      <c r="D21" s="1"/>
      <c r="E21" s="1"/>
      <c r="F21" s="1"/>
      <c r="G21" s="1"/>
      <c r="H21" s="1"/>
      <c r="I21" s="1"/>
      <c r="J21" s="1"/>
      <c r="K21" s="1"/>
      <c r="L21" s="1"/>
      <c r="M21" s="1"/>
      <c r="N21" s="1"/>
      <c r="O21" s="1"/>
    </row>
    <row r="22" spans="1:15" ht="15" thickBot="1" x14ac:dyDescent="0.35">
      <c r="A22" s="27" t="s">
        <v>365</v>
      </c>
      <c r="B22" s="1"/>
      <c r="C22" s="1"/>
      <c r="D22" s="1"/>
      <c r="E22" s="1"/>
      <c r="F22" s="1"/>
      <c r="G22" s="1"/>
      <c r="H22" s="1"/>
      <c r="I22" s="1"/>
      <c r="J22" s="1"/>
      <c r="K22" s="1"/>
      <c r="L22" s="1"/>
      <c r="M22" s="1"/>
      <c r="N22" s="1"/>
      <c r="O22" s="1"/>
    </row>
    <row r="23" spans="1:15" ht="185.4" thickBot="1" x14ac:dyDescent="0.35">
      <c r="A23" s="8" t="s">
        <v>98</v>
      </c>
      <c r="B23" s="30" t="s">
        <v>366</v>
      </c>
      <c r="C23" s="1"/>
      <c r="D23" s="31" t="s">
        <v>367</v>
      </c>
      <c r="E23" s="31" t="s">
        <v>368</v>
      </c>
      <c r="F23" s="1"/>
      <c r="G23" s="1"/>
      <c r="H23" s="1"/>
      <c r="I23" s="1"/>
      <c r="J23" s="32" t="s">
        <v>369</v>
      </c>
      <c r="K23" s="1"/>
      <c r="L23" s="1" t="s">
        <v>346</v>
      </c>
      <c r="M23" s="1" t="s">
        <v>346</v>
      </c>
      <c r="N23" s="1"/>
      <c r="O23" s="1"/>
    </row>
    <row r="24" spans="1:15" ht="187.8" thickBot="1" x14ac:dyDescent="0.35">
      <c r="A24" s="8" t="s">
        <v>109</v>
      </c>
      <c r="B24" s="13" t="s">
        <v>370</v>
      </c>
      <c r="C24" s="31" t="s">
        <v>371</v>
      </c>
      <c r="D24" s="1"/>
      <c r="E24" s="1"/>
      <c r="F24" s="1"/>
      <c r="G24" s="1"/>
      <c r="H24" s="1"/>
      <c r="I24" s="1"/>
      <c r="J24" s="1" t="s">
        <v>372</v>
      </c>
      <c r="K24" s="1" t="s">
        <v>373</v>
      </c>
      <c r="L24" s="1" t="s">
        <v>373</v>
      </c>
      <c r="M24" s="1" t="s">
        <v>373</v>
      </c>
      <c r="N24" s="1" t="s">
        <v>373</v>
      </c>
      <c r="O24" s="32" t="s">
        <v>374</v>
      </c>
    </row>
    <row r="25" spans="1:15" ht="15" thickBot="1" x14ac:dyDescent="0.35">
      <c r="A25" s="8" t="s">
        <v>120</v>
      </c>
      <c r="B25" s="1"/>
      <c r="C25" s="1"/>
      <c r="D25" s="33">
        <v>2016</v>
      </c>
      <c r="E25" s="1"/>
      <c r="F25" s="1"/>
      <c r="G25" s="1"/>
      <c r="H25" s="1"/>
      <c r="I25" s="1"/>
      <c r="J25" s="1"/>
      <c r="K25" s="1"/>
      <c r="L25" s="1"/>
      <c r="M25" s="1"/>
      <c r="N25" s="1"/>
      <c r="O25" s="34" t="s">
        <v>375</v>
      </c>
    </row>
    <row r="26" spans="1:15" ht="15" thickBot="1" x14ac:dyDescent="0.35">
      <c r="A26" s="27" t="s">
        <v>376</v>
      </c>
      <c r="B26" s="1"/>
      <c r="C26" s="1"/>
      <c r="D26" s="1"/>
      <c r="E26" s="1"/>
      <c r="F26" s="1"/>
      <c r="G26" s="1"/>
      <c r="H26" s="1"/>
      <c r="I26" s="1"/>
      <c r="J26" s="1"/>
      <c r="K26" s="1"/>
      <c r="L26" s="1"/>
      <c r="M26" s="1"/>
      <c r="N26" s="1"/>
      <c r="O26" s="1"/>
    </row>
    <row r="27" spans="1:15" ht="251.4" thickBot="1" x14ac:dyDescent="0.35">
      <c r="A27" s="8" t="s">
        <v>130</v>
      </c>
      <c r="B27" s="1"/>
      <c r="C27" s="1"/>
      <c r="D27" s="1"/>
      <c r="E27" s="1"/>
      <c r="F27" s="1"/>
      <c r="G27" s="1"/>
      <c r="H27" s="1"/>
      <c r="I27" s="1"/>
      <c r="J27" s="32" t="s">
        <v>377</v>
      </c>
      <c r="K27" s="1" t="s">
        <v>346</v>
      </c>
      <c r="L27" s="1" t="s">
        <v>346</v>
      </c>
      <c r="M27" s="1"/>
      <c r="N27" s="1"/>
      <c r="O27" s="1"/>
    </row>
    <row r="28" spans="1:15" ht="15" thickBot="1" x14ac:dyDescent="0.35">
      <c r="A28" s="27" t="s">
        <v>378</v>
      </c>
      <c r="B28" s="1"/>
      <c r="C28" s="1"/>
      <c r="D28" s="1"/>
      <c r="E28" s="1"/>
      <c r="F28" s="1"/>
      <c r="G28" s="1"/>
      <c r="H28" s="1"/>
      <c r="I28" s="1"/>
      <c r="J28" s="1"/>
      <c r="K28" s="1"/>
      <c r="L28" s="1"/>
      <c r="M28" s="1"/>
      <c r="N28" s="1"/>
      <c r="O28" s="1"/>
    </row>
    <row r="29" spans="1:15" ht="199.2" thickBot="1" x14ac:dyDescent="0.35">
      <c r="A29" s="8" t="s">
        <v>140</v>
      </c>
      <c r="B29" s="1"/>
      <c r="C29" s="1"/>
      <c r="D29" s="1"/>
      <c r="E29" s="1"/>
      <c r="F29" s="1"/>
      <c r="G29" s="1"/>
      <c r="H29" s="1"/>
      <c r="I29" s="1"/>
      <c r="J29" s="1" t="s">
        <v>379</v>
      </c>
      <c r="K29" s="1"/>
      <c r="L29" s="1"/>
      <c r="M29" s="1"/>
      <c r="N29" s="1"/>
      <c r="O29" s="1"/>
    </row>
    <row r="30" spans="1:15" ht="15" thickBot="1" x14ac:dyDescent="0.35">
      <c r="A30" s="8" t="s">
        <v>146</v>
      </c>
      <c r="B30" t="s">
        <v>380</v>
      </c>
      <c r="C30" s="1"/>
      <c r="D30" s="1"/>
      <c r="E30" s="1"/>
      <c r="F30" s="1"/>
      <c r="G30" s="1"/>
      <c r="H30" s="1"/>
      <c r="I30" s="1"/>
      <c r="J30" s="1"/>
      <c r="K30" s="1"/>
      <c r="L30" s="1"/>
      <c r="M30" s="1"/>
      <c r="N30" s="1"/>
      <c r="O30" s="1"/>
    </row>
    <row r="31" spans="1:15" ht="15" thickBot="1" x14ac:dyDescent="0.35">
      <c r="A31" s="27" t="s">
        <v>381</v>
      </c>
      <c r="B31" s="1"/>
      <c r="C31" s="1"/>
      <c r="D31" s="1"/>
      <c r="E31" s="1"/>
      <c r="F31" s="1"/>
      <c r="G31" s="1"/>
      <c r="H31" s="1"/>
      <c r="I31" s="1"/>
      <c r="J31" s="1"/>
      <c r="K31" s="1"/>
      <c r="L31" s="1"/>
      <c r="M31" s="1"/>
      <c r="N31" s="1"/>
      <c r="O31" s="1"/>
    </row>
    <row r="32" spans="1:15" ht="225.6" thickBot="1" x14ac:dyDescent="0.35">
      <c r="A32" s="8" t="s">
        <v>147</v>
      </c>
      <c r="B32" s="13" t="s">
        <v>382</v>
      </c>
      <c r="C32" s="31" t="s">
        <v>383</v>
      </c>
      <c r="D32" s="33">
        <v>2005</v>
      </c>
      <c r="E32" s="1" t="s">
        <v>384</v>
      </c>
      <c r="F32" s="1" t="s">
        <v>385</v>
      </c>
      <c r="G32" s="1" t="s">
        <v>386</v>
      </c>
      <c r="H32" s="1" t="s">
        <v>387</v>
      </c>
      <c r="I32" s="1" t="s">
        <v>388</v>
      </c>
      <c r="J32" s="1" t="s">
        <v>389</v>
      </c>
      <c r="K32" s="1" t="s">
        <v>346</v>
      </c>
      <c r="L32" s="1" t="s">
        <v>390</v>
      </c>
      <c r="M32" s="1" t="s">
        <v>346</v>
      </c>
      <c r="N32" s="1" t="s">
        <v>346</v>
      </c>
      <c r="O32" s="34" t="s">
        <v>391</v>
      </c>
    </row>
    <row r="33" spans="1:15" ht="27.6" thickBot="1" x14ac:dyDescent="0.35">
      <c r="A33" s="8" t="s">
        <v>392</v>
      </c>
      <c r="B33" s="1"/>
      <c r="C33" s="1"/>
      <c r="D33" s="1"/>
      <c r="E33" s="1"/>
      <c r="F33" s="1"/>
      <c r="G33" s="1"/>
      <c r="H33" s="1"/>
      <c r="I33" s="1"/>
      <c r="J33" s="1" t="s">
        <v>393</v>
      </c>
      <c r="K33" s="1"/>
      <c r="L33" s="1"/>
      <c r="M33" s="1"/>
      <c r="N33" s="1"/>
      <c r="O33" s="1"/>
    </row>
    <row r="34" spans="1:15" ht="40.799999999999997" thickBot="1" x14ac:dyDescent="0.35">
      <c r="A34" s="8" t="s">
        <v>159</v>
      </c>
      <c r="B34" s="1"/>
      <c r="C34" s="1"/>
      <c r="D34" s="1"/>
      <c r="E34" s="1"/>
      <c r="F34" s="1"/>
      <c r="G34" s="1"/>
      <c r="H34" s="1"/>
      <c r="I34" s="1"/>
      <c r="J34" s="1" t="s">
        <v>394</v>
      </c>
      <c r="K34" s="1"/>
      <c r="L34" s="1"/>
      <c r="M34" s="1"/>
      <c r="N34" s="1"/>
      <c r="O34" s="34" t="s">
        <v>167</v>
      </c>
    </row>
    <row r="35" spans="1:15" ht="304.2" thickBot="1" x14ac:dyDescent="0.35">
      <c r="A35" s="8" t="s">
        <v>169</v>
      </c>
      <c r="B35" s="1"/>
      <c r="C35" s="29" t="s">
        <v>395</v>
      </c>
      <c r="D35" s="1">
        <v>2012</v>
      </c>
      <c r="E35" s="29" t="s">
        <v>396</v>
      </c>
      <c r="F35" s="1"/>
      <c r="G35" s="1"/>
      <c r="H35" s="1"/>
      <c r="I35" s="29" t="s">
        <v>397</v>
      </c>
      <c r="J35" s="32" t="s">
        <v>398</v>
      </c>
      <c r="K35" s="1" t="s">
        <v>346</v>
      </c>
      <c r="L35" s="1"/>
      <c r="M35" s="1" t="s">
        <v>346</v>
      </c>
      <c r="N35" s="1" t="s">
        <v>346</v>
      </c>
      <c r="O35" s="1"/>
    </row>
    <row r="36" spans="1:15" ht="15" thickBot="1" x14ac:dyDescent="0.35">
      <c r="A36" s="8" t="s">
        <v>177</v>
      </c>
      <c r="B36" s="1"/>
      <c r="C36" s="1"/>
      <c r="D36" s="1"/>
      <c r="E36" s="1"/>
      <c r="F36" s="1"/>
      <c r="G36" s="1"/>
      <c r="H36" s="1"/>
      <c r="I36" s="1"/>
      <c r="J36" s="1"/>
      <c r="K36" s="1"/>
      <c r="L36" s="1"/>
      <c r="M36" s="1"/>
      <c r="N36" s="1"/>
      <c r="O36" s="1"/>
    </row>
    <row r="37" spans="1:15" ht="15" thickBot="1" x14ac:dyDescent="0.35">
      <c r="A37" s="8" t="s">
        <v>190</v>
      </c>
      <c r="B37" s="1"/>
      <c r="C37" s="1"/>
      <c r="D37" s="1"/>
      <c r="E37" s="1"/>
      <c r="F37" s="1"/>
      <c r="G37" s="1"/>
      <c r="H37" s="1"/>
      <c r="I37" s="1"/>
      <c r="J37" s="1"/>
      <c r="K37" s="1"/>
      <c r="L37" s="1"/>
      <c r="M37" s="1"/>
      <c r="N37" s="1"/>
      <c r="O37" s="1"/>
    </row>
    <row r="38" spans="1:15" ht="15" thickBot="1" x14ac:dyDescent="0.35">
      <c r="A38" s="8" t="s">
        <v>399</v>
      </c>
      <c r="B38" s="1"/>
      <c r="C38" s="1"/>
      <c r="D38" s="1"/>
      <c r="E38" s="1"/>
      <c r="F38" s="1"/>
      <c r="G38" s="1"/>
      <c r="H38" s="1"/>
      <c r="I38" s="1"/>
      <c r="J38" s="1"/>
      <c r="K38" s="1"/>
      <c r="L38" s="1"/>
      <c r="M38" s="1"/>
      <c r="N38" s="1"/>
      <c r="O38" s="1"/>
    </row>
    <row r="39" spans="1:15" ht="185.4" thickBot="1" x14ac:dyDescent="0.35">
      <c r="A39" s="8" t="s">
        <v>200</v>
      </c>
      <c r="B39" s="13" t="s">
        <v>400</v>
      </c>
      <c r="C39" s="31" t="s">
        <v>401</v>
      </c>
      <c r="D39" s="33">
        <v>2004</v>
      </c>
      <c r="E39" s="31" t="s">
        <v>402</v>
      </c>
      <c r="F39" s="1"/>
      <c r="G39" s="1"/>
      <c r="H39" s="1"/>
      <c r="I39" s="1"/>
      <c r="J39" s="32" t="s">
        <v>403</v>
      </c>
      <c r="K39" s="1" t="s">
        <v>346</v>
      </c>
      <c r="L39" s="1"/>
      <c r="M39" s="1" t="s">
        <v>346</v>
      </c>
      <c r="N39" s="1" t="s">
        <v>346</v>
      </c>
      <c r="O39" s="1"/>
    </row>
    <row r="40" spans="1:15" ht="40.799999999999997" thickBot="1" x14ac:dyDescent="0.35">
      <c r="A40" s="27" t="s">
        <v>404</v>
      </c>
      <c r="B40" s="1"/>
      <c r="C40" s="1"/>
      <c r="D40" s="1"/>
      <c r="E40" s="1"/>
      <c r="F40" s="1"/>
      <c r="G40" s="1"/>
      <c r="H40" s="1"/>
      <c r="I40" s="1"/>
      <c r="J40" s="1" t="s">
        <v>405</v>
      </c>
      <c r="K40" s="1"/>
      <c r="L40" s="1"/>
      <c r="M40" s="1"/>
      <c r="N40" s="1" t="s">
        <v>346</v>
      </c>
      <c r="O40" s="1"/>
    </row>
    <row r="41" spans="1:15" ht="15" thickBot="1" x14ac:dyDescent="0.35">
      <c r="A41" s="27" t="s">
        <v>406</v>
      </c>
      <c r="B41" s="1"/>
      <c r="C41" s="1"/>
      <c r="D41" s="1"/>
      <c r="E41" s="1"/>
      <c r="F41" s="1"/>
      <c r="G41" s="1"/>
      <c r="H41" s="1"/>
      <c r="I41" s="1"/>
      <c r="J41" s="28" t="s">
        <v>407</v>
      </c>
      <c r="K41" s="1"/>
      <c r="L41" s="1"/>
      <c r="M41" s="1"/>
      <c r="N41" s="1"/>
      <c r="O41" s="1"/>
    </row>
    <row r="42" spans="1:15" ht="27.6" thickBot="1" x14ac:dyDescent="0.35">
      <c r="A42" s="27" t="s">
        <v>408</v>
      </c>
      <c r="B42" s="1"/>
      <c r="C42" s="1"/>
      <c r="D42" s="1"/>
      <c r="E42" s="1"/>
      <c r="F42" s="1"/>
      <c r="G42" s="1"/>
      <c r="H42" s="1"/>
      <c r="I42" s="1"/>
      <c r="J42" s="1" t="s">
        <v>409</v>
      </c>
      <c r="K42" s="1"/>
      <c r="L42" s="1"/>
      <c r="M42" s="1"/>
      <c r="N42" s="1"/>
      <c r="O42" s="1"/>
    </row>
    <row r="43" spans="1:15" ht="15" thickBot="1" x14ac:dyDescent="0.35">
      <c r="A43" s="27" t="s">
        <v>410</v>
      </c>
      <c r="B43" s="1"/>
      <c r="C43" s="1"/>
      <c r="D43" s="1"/>
      <c r="E43" s="1"/>
      <c r="F43" s="1"/>
      <c r="G43" s="1"/>
      <c r="H43" s="1"/>
      <c r="I43" s="1"/>
      <c r="J43" s="1"/>
      <c r="K43" s="1"/>
      <c r="L43" s="1"/>
      <c r="M43" s="1"/>
      <c r="N43" s="1"/>
      <c r="O43" s="1"/>
    </row>
    <row r="44" spans="1:15" ht="318" thickBot="1" x14ac:dyDescent="0.35">
      <c r="A44" s="27" t="s">
        <v>411</v>
      </c>
      <c r="B44" s="35" t="s">
        <v>412</v>
      </c>
      <c r="C44" s="31" t="s">
        <v>413</v>
      </c>
      <c r="D44" s="1"/>
      <c r="E44" s="31" t="s">
        <v>402</v>
      </c>
      <c r="F44" s="31" t="s">
        <v>26</v>
      </c>
      <c r="G44" s="1"/>
      <c r="H44" s="1"/>
      <c r="I44" s="31" t="s">
        <v>414</v>
      </c>
      <c r="J44" s="1" t="s">
        <v>415</v>
      </c>
      <c r="K44" s="1" t="s">
        <v>347</v>
      </c>
      <c r="L44" s="1" t="s">
        <v>347</v>
      </c>
      <c r="M44" s="1" t="s">
        <v>347</v>
      </c>
      <c r="N44" s="1" t="s">
        <v>347</v>
      </c>
      <c r="O44" s="1"/>
    </row>
    <row r="45" spans="1:15" ht="15" thickBot="1" x14ac:dyDescent="0.35">
      <c r="A45" s="27" t="s">
        <v>416</v>
      </c>
      <c r="B45" s="1"/>
      <c r="C45" s="1"/>
      <c r="D45" s="1"/>
      <c r="E45" s="1"/>
      <c r="F45" s="1"/>
      <c r="G45" s="1"/>
      <c r="H45" s="1"/>
      <c r="I45" s="1"/>
      <c r="J45" s="1"/>
      <c r="K45" s="1"/>
      <c r="L45" s="1"/>
      <c r="M45" s="1"/>
      <c r="N45" s="1"/>
      <c r="O45" s="1"/>
    </row>
    <row r="46" spans="1:15" ht="145.80000000000001" thickBot="1" x14ac:dyDescent="0.35">
      <c r="A46" s="8" t="s">
        <v>208</v>
      </c>
      <c r="B46" s="1"/>
      <c r="C46" s="1"/>
      <c r="D46" s="1"/>
      <c r="E46" s="1"/>
      <c r="F46" s="1"/>
      <c r="G46" s="1"/>
      <c r="H46" s="1"/>
      <c r="I46" s="1"/>
      <c r="J46" s="32" t="s">
        <v>417</v>
      </c>
      <c r="K46" s="1" t="s">
        <v>346</v>
      </c>
      <c r="L46" s="1"/>
      <c r="M46" s="1"/>
      <c r="N46" s="1" t="s">
        <v>346</v>
      </c>
      <c r="O46" s="1"/>
    </row>
    <row r="47" spans="1:15" ht="15" thickBot="1" x14ac:dyDescent="0.35">
      <c r="A47" s="27" t="s">
        <v>418</v>
      </c>
      <c r="B47" s="1"/>
      <c r="C47" s="1"/>
      <c r="D47" s="1"/>
      <c r="E47" s="1"/>
      <c r="F47" s="1"/>
      <c r="G47" s="1"/>
      <c r="H47" s="1"/>
      <c r="I47" s="1"/>
      <c r="J47" s="28" t="s">
        <v>419</v>
      </c>
      <c r="K47" s="1"/>
      <c r="L47" s="1"/>
      <c r="M47" s="1"/>
      <c r="N47" s="1"/>
      <c r="O47" s="1"/>
    </row>
    <row r="48" spans="1:15" ht="54" thickBot="1" x14ac:dyDescent="0.35">
      <c r="A48" s="27" t="s">
        <v>420</v>
      </c>
      <c r="B48" s="1"/>
      <c r="C48" s="1"/>
      <c r="D48" s="1"/>
      <c r="E48" s="1"/>
      <c r="F48" s="1"/>
      <c r="G48" s="1"/>
      <c r="H48" s="1"/>
      <c r="I48" s="1"/>
      <c r="J48" s="1" t="s">
        <v>421</v>
      </c>
      <c r="K48" s="1"/>
      <c r="L48" s="1"/>
      <c r="M48" s="1"/>
      <c r="N48" s="1"/>
      <c r="O48" s="1"/>
    </row>
    <row r="49" spans="1:15" ht="25.8" thickBot="1" x14ac:dyDescent="0.35">
      <c r="A49" s="27" t="s">
        <v>422</v>
      </c>
      <c r="B49" s="1"/>
      <c r="C49" s="1"/>
      <c r="D49" s="1"/>
      <c r="E49" s="1"/>
      <c r="F49" s="1"/>
      <c r="G49" s="1"/>
      <c r="H49" s="1"/>
      <c r="I49" s="1"/>
      <c r="J49" s="1"/>
      <c r="K49" s="1"/>
      <c r="L49" s="1"/>
      <c r="M49" s="1"/>
      <c r="N49" s="1"/>
      <c r="O49" s="1"/>
    </row>
    <row r="50" spans="1:15" ht="15" thickBot="1" x14ac:dyDescent="0.35">
      <c r="A50" s="27" t="s">
        <v>423</v>
      </c>
      <c r="B50" s="1"/>
      <c r="C50" s="1"/>
      <c r="D50" s="1"/>
      <c r="E50" s="1"/>
      <c r="F50" s="1"/>
      <c r="G50" s="1"/>
      <c r="H50" s="1"/>
      <c r="I50" s="1"/>
      <c r="J50" s="1"/>
      <c r="K50" s="1"/>
      <c r="L50" s="1"/>
      <c r="M50" s="1"/>
      <c r="N50" s="1"/>
      <c r="O50" s="1"/>
    </row>
    <row r="51" spans="1:15" ht="15" thickBot="1" x14ac:dyDescent="0.35">
      <c r="A51" s="27" t="s">
        <v>424</v>
      </c>
      <c r="B51" s="1"/>
      <c r="C51" s="1"/>
      <c r="D51" s="1"/>
      <c r="E51" s="1"/>
      <c r="F51" s="1"/>
      <c r="G51" s="1"/>
      <c r="H51" s="1"/>
      <c r="I51" s="1"/>
      <c r="J51" s="1"/>
      <c r="K51" s="1"/>
      <c r="L51" s="1"/>
      <c r="M51" s="1"/>
      <c r="N51" s="1"/>
      <c r="O51" s="1"/>
    </row>
    <row r="52" spans="1:15" ht="15" thickBot="1" x14ac:dyDescent="0.35">
      <c r="A52" s="27" t="s">
        <v>425</v>
      </c>
      <c r="B52" s="1"/>
      <c r="C52" s="1"/>
      <c r="D52" s="1"/>
      <c r="E52" s="1"/>
      <c r="F52" s="1"/>
      <c r="G52" s="1"/>
      <c r="H52" s="1"/>
      <c r="I52" s="1"/>
      <c r="J52" s="1"/>
      <c r="K52" s="1"/>
      <c r="L52" s="1"/>
      <c r="M52" s="1"/>
      <c r="N52" s="1"/>
      <c r="O52" s="1"/>
    </row>
    <row r="53" spans="1:15" ht="15" thickBot="1" x14ac:dyDescent="0.35">
      <c r="A53" s="27" t="s">
        <v>426</v>
      </c>
      <c r="B53" s="1"/>
      <c r="C53" s="1"/>
      <c r="D53" s="1"/>
      <c r="E53" s="1"/>
      <c r="F53" s="1"/>
      <c r="G53" s="1"/>
      <c r="H53" s="1"/>
      <c r="I53" s="1"/>
      <c r="J53" s="1"/>
      <c r="K53" s="1"/>
      <c r="L53" s="1"/>
      <c r="M53" s="1"/>
      <c r="N53" s="1"/>
      <c r="O53" s="1"/>
    </row>
    <row r="54" spans="1:15" ht="15" thickBot="1" x14ac:dyDescent="0.35">
      <c r="A54" s="27" t="s">
        <v>427</v>
      </c>
      <c r="B54" s="1"/>
      <c r="C54" s="1"/>
      <c r="D54" s="1"/>
      <c r="E54" s="1"/>
      <c r="F54" s="1"/>
      <c r="G54" s="1"/>
      <c r="H54" s="1"/>
      <c r="I54" s="1"/>
      <c r="J54" s="1"/>
      <c r="K54" s="1"/>
      <c r="L54" s="1"/>
      <c r="M54" s="1"/>
      <c r="N54" s="1"/>
      <c r="O54" s="1"/>
    </row>
    <row r="55" spans="1:15" ht="15" thickBot="1" x14ac:dyDescent="0.35">
      <c r="A55" s="8" t="s">
        <v>218</v>
      </c>
      <c r="B55" s="1"/>
      <c r="C55" s="1"/>
      <c r="D55" s="1"/>
      <c r="E55" s="1"/>
      <c r="F55" s="1"/>
      <c r="G55" s="1"/>
      <c r="H55" s="1"/>
      <c r="I55" s="1"/>
      <c r="J55" s="1"/>
      <c r="K55" s="1"/>
      <c r="L55" s="1"/>
      <c r="M55" s="1"/>
      <c r="N55" s="1"/>
      <c r="O55" s="1"/>
    </row>
    <row r="56" spans="1:15" ht="15" thickBot="1" x14ac:dyDescent="0.35">
      <c r="A56" s="27" t="s">
        <v>428</v>
      </c>
      <c r="B56" s="1"/>
      <c r="C56" s="1"/>
      <c r="D56" s="1"/>
      <c r="E56" s="1"/>
      <c r="F56" s="1"/>
      <c r="G56" s="1"/>
      <c r="H56" s="1"/>
      <c r="I56" s="1"/>
      <c r="J56" s="1"/>
      <c r="K56" s="1"/>
      <c r="L56" s="1"/>
      <c r="M56" s="1"/>
      <c r="N56" s="1"/>
      <c r="O56" s="1"/>
    </row>
    <row r="57" spans="1:15" ht="186" thickBot="1" x14ac:dyDescent="0.35">
      <c r="A57" s="8" t="s">
        <v>232</v>
      </c>
      <c r="B57" s="1" t="s">
        <v>429</v>
      </c>
      <c r="C57" s="1" t="s">
        <v>430</v>
      </c>
      <c r="D57" s="33">
        <v>2021</v>
      </c>
      <c r="E57" s="1" t="s">
        <v>431</v>
      </c>
      <c r="F57" s="1" t="s">
        <v>432</v>
      </c>
      <c r="G57" s="1" t="s">
        <v>346</v>
      </c>
      <c r="H57" s="1" t="s">
        <v>433</v>
      </c>
      <c r="I57" s="1" t="s">
        <v>434</v>
      </c>
      <c r="J57" s="1" t="s">
        <v>435</v>
      </c>
      <c r="K57" s="1"/>
      <c r="L57" s="1"/>
      <c r="M57" s="1"/>
      <c r="N57" s="1"/>
      <c r="O57" s="1"/>
    </row>
    <row r="58" spans="1:15" ht="15" thickBot="1" x14ac:dyDescent="0.35">
      <c r="A58" s="27" t="s">
        <v>436</v>
      </c>
      <c r="B58" s="1"/>
      <c r="C58" s="1"/>
      <c r="D58" s="1"/>
      <c r="E58" s="1"/>
      <c r="F58" s="1"/>
      <c r="G58" s="1"/>
      <c r="H58" s="1"/>
      <c r="I58" s="1"/>
      <c r="J58" s="1"/>
      <c r="K58" s="1"/>
      <c r="L58" s="1"/>
      <c r="M58" s="1"/>
      <c r="N58" s="1"/>
      <c r="O58" s="1"/>
    </row>
    <row r="59" spans="1:15" ht="106.8" thickBot="1" x14ac:dyDescent="0.35">
      <c r="A59" s="8" t="s">
        <v>240</v>
      </c>
      <c r="C59" s="1"/>
      <c r="D59" s="1"/>
      <c r="E59" s="1"/>
      <c r="F59" s="1"/>
      <c r="G59" s="1"/>
      <c r="H59" s="1"/>
      <c r="I59" s="1"/>
      <c r="J59" s="1" t="s">
        <v>437</v>
      </c>
      <c r="K59" s="1"/>
      <c r="L59" s="1"/>
      <c r="M59" s="1"/>
      <c r="N59" s="1"/>
      <c r="O59" s="1"/>
    </row>
    <row r="60" spans="1:15" ht="15" thickBot="1" x14ac:dyDescent="0.35">
      <c r="A60" s="27" t="s">
        <v>438</v>
      </c>
      <c r="B60" s="1"/>
      <c r="C60" s="1"/>
      <c r="D60" s="1"/>
      <c r="E60" s="1"/>
      <c r="F60" s="1"/>
      <c r="G60" s="1"/>
      <c r="H60" s="1"/>
      <c r="I60" s="1"/>
      <c r="J60" s="1"/>
      <c r="K60" s="1"/>
      <c r="L60" s="1"/>
      <c r="M60" s="1"/>
      <c r="N60" s="1"/>
      <c r="O60" s="1"/>
    </row>
    <row r="61" spans="1:15" ht="202.2" thickBot="1" x14ac:dyDescent="0.35">
      <c r="A61" s="8" t="s">
        <v>249</v>
      </c>
      <c r="B61" s="35" t="s">
        <v>439</v>
      </c>
      <c r="C61" s="31" t="s">
        <v>440</v>
      </c>
      <c r="D61" s="31">
        <v>2004</v>
      </c>
      <c r="E61" s="31" t="s">
        <v>441</v>
      </c>
      <c r="F61" s="31" t="s">
        <v>442</v>
      </c>
      <c r="G61" s="1" t="s">
        <v>373</v>
      </c>
      <c r="H61" s="1" t="s">
        <v>347</v>
      </c>
      <c r="I61" s="31" t="s">
        <v>443</v>
      </c>
      <c r="J61" s="31" t="s">
        <v>444</v>
      </c>
      <c r="K61" s="32" t="s">
        <v>347</v>
      </c>
      <c r="L61" s="32" t="s">
        <v>373</v>
      </c>
      <c r="M61" s="32" t="s">
        <v>347</v>
      </c>
      <c r="N61" s="32" t="s">
        <v>347</v>
      </c>
      <c r="O61" s="28" t="s">
        <v>445</v>
      </c>
    </row>
    <row r="62" spans="1:15" ht="291.60000000000002" thickBot="1" x14ac:dyDescent="0.35">
      <c r="A62" s="8" t="s">
        <v>446</v>
      </c>
      <c r="B62" s="36" t="s">
        <v>447</v>
      </c>
      <c r="C62" s="31" t="s">
        <v>448</v>
      </c>
      <c r="D62" s="33">
        <v>2004</v>
      </c>
      <c r="E62" s="1"/>
      <c r="F62" s="31" t="s">
        <v>26</v>
      </c>
      <c r="G62" s="1"/>
      <c r="H62" s="1" t="s">
        <v>347</v>
      </c>
      <c r="I62" s="1" t="s">
        <v>449</v>
      </c>
      <c r="J62" s="1" t="s">
        <v>450</v>
      </c>
      <c r="K62" s="1" t="s">
        <v>347</v>
      </c>
      <c r="L62" s="1" t="s">
        <v>347</v>
      </c>
      <c r="M62" s="1" t="s">
        <v>347</v>
      </c>
      <c r="N62" s="1" t="s">
        <v>347</v>
      </c>
      <c r="O62" s="1"/>
    </row>
    <row r="63" spans="1:15" ht="88.8" thickBot="1" x14ac:dyDescent="0.35">
      <c r="A63" s="27" t="s">
        <v>451</v>
      </c>
      <c r="B63" s="30" t="s">
        <v>452</v>
      </c>
      <c r="C63" s="1"/>
      <c r="D63" s="1"/>
      <c r="E63" s="1"/>
      <c r="F63" s="1"/>
      <c r="G63" s="1"/>
      <c r="H63" s="1"/>
      <c r="I63" s="1"/>
      <c r="J63" s="1"/>
      <c r="K63" s="1" t="s">
        <v>347</v>
      </c>
      <c r="L63" s="1" t="s">
        <v>347</v>
      </c>
      <c r="M63" s="1" t="s">
        <v>347</v>
      </c>
      <c r="N63" s="1"/>
      <c r="O63" s="1"/>
    </row>
    <row r="64" spans="1:15" ht="238.8" thickBot="1" x14ac:dyDescent="0.35">
      <c r="A64" s="8" t="s">
        <v>453</v>
      </c>
      <c r="B64" s="35" t="s">
        <v>454</v>
      </c>
      <c r="C64" s="31" t="s">
        <v>275</v>
      </c>
      <c r="D64" s="33">
        <v>2004</v>
      </c>
      <c r="E64" s="31" t="s">
        <v>368</v>
      </c>
      <c r="F64" s="1" t="s">
        <v>26</v>
      </c>
      <c r="G64" s="1" t="s">
        <v>373</v>
      </c>
      <c r="H64" s="1" t="s">
        <v>347</v>
      </c>
      <c r="I64" s="1" t="s">
        <v>397</v>
      </c>
      <c r="J64" s="1" t="s">
        <v>455</v>
      </c>
      <c r="K64" s="1" t="s">
        <v>347</v>
      </c>
      <c r="L64" s="1" t="s">
        <v>373</v>
      </c>
      <c r="M64" s="1" t="s">
        <v>347</v>
      </c>
      <c r="N64" s="1" t="s">
        <v>347</v>
      </c>
      <c r="O64" s="1"/>
    </row>
    <row r="65" spans="1:18" ht="15" thickBot="1" x14ac:dyDescent="0.35">
      <c r="A65" s="27" t="s">
        <v>456</v>
      </c>
      <c r="B65" s="1"/>
      <c r="C65" s="1"/>
      <c r="D65" s="1"/>
      <c r="E65" s="1"/>
      <c r="F65" s="1"/>
      <c r="G65" s="1"/>
      <c r="H65" s="1"/>
      <c r="I65" s="1"/>
      <c r="J65" s="1"/>
      <c r="K65" s="1"/>
      <c r="L65" s="1"/>
      <c r="M65" s="1"/>
      <c r="N65" s="1"/>
      <c r="O65" s="1"/>
    </row>
    <row r="66" spans="1:18" ht="15" thickBot="1" x14ac:dyDescent="0.35">
      <c r="A66" s="27" t="s">
        <v>457</v>
      </c>
      <c r="B66" s="1"/>
      <c r="C66" s="1"/>
      <c r="D66" s="1"/>
      <c r="E66" s="1"/>
      <c r="F66" s="1"/>
      <c r="G66" s="1"/>
      <c r="H66" s="1"/>
      <c r="I66" s="1"/>
      <c r="J66" s="1"/>
      <c r="K66" s="1"/>
      <c r="L66" s="1"/>
      <c r="M66" s="1"/>
      <c r="N66" s="1"/>
      <c r="O66" s="1"/>
    </row>
    <row r="67" spans="1:18" ht="177" thickBot="1" x14ac:dyDescent="0.35">
      <c r="A67" s="8" t="s">
        <v>458</v>
      </c>
      <c r="B67" s="31" t="s">
        <v>459</v>
      </c>
      <c r="C67" s="31" t="s">
        <v>460</v>
      </c>
      <c r="D67" s="31">
        <v>2004</v>
      </c>
      <c r="E67" s="31" t="s">
        <v>461</v>
      </c>
      <c r="F67" s="31" t="s">
        <v>26</v>
      </c>
      <c r="G67" s="31" t="s">
        <v>373</v>
      </c>
      <c r="H67" s="31" t="s">
        <v>347</v>
      </c>
      <c r="I67" s="31" t="s">
        <v>449</v>
      </c>
      <c r="J67" s="31" t="s">
        <v>444</v>
      </c>
      <c r="K67" s="31" t="s">
        <v>347</v>
      </c>
      <c r="L67" s="31" t="s">
        <v>347</v>
      </c>
      <c r="M67" s="31" t="s">
        <v>347</v>
      </c>
      <c r="N67" s="31" t="s">
        <v>347</v>
      </c>
      <c r="O67" s="1"/>
    </row>
    <row r="68" spans="1:18" ht="397.2" thickBot="1" x14ac:dyDescent="0.35">
      <c r="A68" s="8" t="s">
        <v>462</v>
      </c>
      <c r="B68" s="13" t="s">
        <v>463</v>
      </c>
      <c r="C68" s="31" t="s">
        <v>464</v>
      </c>
      <c r="D68" s="1"/>
      <c r="E68" t="s">
        <v>465</v>
      </c>
      <c r="F68" s="31" t="s">
        <v>26</v>
      </c>
      <c r="G68" s="1"/>
      <c r="H68" s="1"/>
      <c r="I68" s="1"/>
      <c r="J68" s="1" t="s">
        <v>466</v>
      </c>
      <c r="K68" s="1" t="s">
        <v>347</v>
      </c>
      <c r="L68" s="1" t="s">
        <v>347</v>
      </c>
      <c r="M68" s="1" t="s">
        <v>347</v>
      </c>
      <c r="N68" s="1" t="s">
        <v>347</v>
      </c>
      <c r="O68" s="1"/>
    </row>
    <row r="69" spans="1:18" ht="27.6" thickBot="1" x14ac:dyDescent="0.35">
      <c r="A69" s="8" t="s">
        <v>293</v>
      </c>
      <c r="B69" s="1"/>
      <c r="C69" s="1"/>
      <c r="D69" s="1"/>
      <c r="E69" s="1"/>
      <c r="F69" s="1"/>
      <c r="G69" s="1"/>
      <c r="H69" s="1"/>
      <c r="I69" s="1"/>
      <c r="J69" s="1" t="s">
        <v>467</v>
      </c>
      <c r="K69" s="1"/>
      <c r="L69" s="1"/>
      <c r="M69" s="1"/>
      <c r="N69" s="1"/>
      <c r="O69" s="1"/>
    </row>
    <row r="70" spans="1:18" ht="25.8" thickBot="1" x14ac:dyDescent="0.35">
      <c r="A70" s="27" t="s">
        <v>468</v>
      </c>
      <c r="B70" s="1"/>
      <c r="C70" s="1"/>
      <c r="D70" s="1"/>
      <c r="E70" s="1"/>
      <c r="F70" s="1"/>
      <c r="G70" s="1"/>
      <c r="H70" s="1"/>
      <c r="I70" s="1"/>
      <c r="J70" s="1"/>
      <c r="K70" s="1"/>
      <c r="L70" s="1"/>
      <c r="M70" s="1"/>
      <c r="N70" s="1"/>
      <c r="O70" s="1"/>
    </row>
    <row r="71" spans="1:18" ht="264.60000000000002" thickBot="1" x14ac:dyDescent="0.35">
      <c r="A71" s="8" t="s">
        <v>304</v>
      </c>
      <c r="B71" s="1"/>
      <c r="C71" s="1"/>
      <c r="D71" s="1"/>
      <c r="E71" s="1"/>
      <c r="F71" s="1"/>
      <c r="G71" s="1"/>
      <c r="H71" s="1"/>
      <c r="I71" s="1"/>
      <c r="J71" s="32" t="s">
        <v>469</v>
      </c>
      <c r="K71" s="1" t="s">
        <v>346</v>
      </c>
      <c r="L71" s="1"/>
      <c r="M71" s="1" t="s">
        <v>346</v>
      </c>
      <c r="N71" s="1" t="s">
        <v>346</v>
      </c>
      <c r="O71" s="1"/>
    </row>
    <row r="72" spans="1:18" ht="389.4" thickBot="1" x14ac:dyDescent="0.35">
      <c r="A72" s="27" t="s">
        <v>470</v>
      </c>
      <c r="B72" s="37" t="s">
        <v>471</v>
      </c>
      <c r="C72" s="37" t="s">
        <v>472</v>
      </c>
      <c r="D72" s="37" t="s">
        <v>473</v>
      </c>
      <c r="E72" s="37" t="s">
        <v>473</v>
      </c>
      <c r="F72" s="37" t="s">
        <v>473</v>
      </c>
      <c r="G72" s="37" t="s">
        <v>474</v>
      </c>
      <c r="H72" s="37" t="s">
        <v>473</v>
      </c>
      <c r="I72" s="37" t="s">
        <v>473</v>
      </c>
      <c r="J72" s="37" t="s">
        <v>475</v>
      </c>
      <c r="K72" s="37" t="s">
        <v>476</v>
      </c>
      <c r="L72" s="37" t="s">
        <v>477</v>
      </c>
      <c r="M72" s="37" t="s">
        <v>476</v>
      </c>
      <c r="N72" s="37" t="s">
        <v>476</v>
      </c>
      <c r="O72" s="38" t="s">
        <v>478</v>
      </c>
      <c r="P72" s="39" t="s">
        <v>479</v>
      </c>
      <c r="Q72" s="39" t="s">
        <v>480</v>
      </c>
      <c r="R72" s="39"/>
    </row>
    <row r="73" spans="1:18" ht="360.6" thickBot="1" x14ac:dyDescent="0.35">
      <c r="A73" s="27" t="s">
        <v>481</v>
      </c>
      <c r="B73" s="37" t="s">
        <v>482</v>
      </c>
      <c r="C73" s="37" t="s">
        <v>483</v>
      </c>
      <c r="D73" s="37" t="s">
        <v>473</v>
      </c>
      <c r="E73" s="37" t="s">
        <v>473</v>
      </c>
      <c r="F73" s="37" t="s">
        <v>473</v>
      </c>
      <c r="G73" s="37" t="s">
        <v>484</v>
      </c>
      <c r="H73" s="37" t="s">
        <v>473</v>
      </c>
      <c r="I73" s="37" t="s">
        <v>473</v>
      </c>
      <c r="J73" s="37" t="s">
        <v>473</v>
      </c>
      <c r="K73" s="37" t="s">
        <v>485</v>
      </c>
      <c r="L73" s="37" t="s">
        <v>486</v>
      </c>
      <c r="M73" s="37" t="s">
        <v>485</v>
      </c>
      <c r="N73" s="37" t="s">
        <v>485</v>
      </c>
      <c r="O73" s="38" t="s">
        <v>478</v>
      </c>
      <c r="P73" s="39" t="s">
        <v>487</v>
      </c>
      <c r="Q73" s="39" t="s">
        <v>488</v>
      </c>
      <c r="R73" s="40" t="s">
        <v>489</v>
      </c>
    </row>
    <row r="74" spans="1:18" ht="409.6" thickBot="1" x14ac:dyDescent="0.35">
      <c r="A74" s="27" t="s">
        <v>490</v>
      </c>
      <c r="B74" s="37" t="s">
        <v>491</v>
      </c>
      <c r="C74" s="37" t="s">
        <v>492</v>
      </c>
      <c r="D74" s="37" t="s">
        <v>493</v>
      </c>
      <c r="E74" s="37" t="s">
        <v>494</v>
      </c>
      <c r="F74" s="37" t="s">
        <v>495</v>
      </c>
      <c r="G74" s="37" t="s">
        <v>496</v>
      </c>
      <c r="H74" s="37" t="s">
        <v>497</v>
      </c>
      <c r="I74" s="37" t="s">
        <v>498</v>
      </c>
      <c r="J74" s="37" t="s">
        <v>499</v>
      </c>
      <c r="K74" s="37" t="s">
        <v>500</v>
      </c>
      <c r="L74" s="37" t="s">
        <v>496</v>
      </c>
      <c r="M74" s="37" t="s">
        <v>501</v>
      </c>
      <c r="N74" s="37" t="s">
        <v>501</v>
      </c>
      <c r="O74" s="37" t="s">
        <v>502</v>
      </c>
      <c r="P74" s="41" t="s">
        <v>503</v>
      </c>
      <c r="Q74" s="39" t="s">
        <v>504</v>
      </c>
      <c r="R74" s="40" t="s">
        <v>505</v>
      </c>
    </row>
    <row r="75" spans="1:18" ht="360.6" thickBot="1" x14ac:dyDescent="0.35">
      <c r="A75" s="27" t="s">
        <v>506</v>
      </c>
      <c r="B75" s="37" t="s">
        <v>507</v>
      </c>
      <c r="C75" s="37" t="s">
        <v>508</v>
      </c>
      <c r="D75" s="37" t="s">
        <v>509</v>
      </c>
      <c r="E75" s="37" t="s">
        <v>510</v>
      </c>
      <c r="F75" s="37" t="s">
        <v>511</v>
      </c>
      <c r="G75" s="37" t="s">
        <v>512</v>
      </c>
      <c r="H75" s="37" t="s">
        <v>513</v>
      </c>
      <c r="I75" s="37" t="s">
        <v>514</v>
      </c>
      <c r="J75" s="37" t="s">
        <v>515</v>
      </c>
      <c r="K75" s="37" t="s">
        <v>516</v>
      </c>
      <c r="L75" s="37" t="s">
        <v>512</v>
      </c>
      <c r="M75" s="37" t="s">
        <v>516</v>
      </c>
      <c r="N75" s="37" t="s">
        <v>516</v>
      </c>
      <c r="O75" s="37" t="s">
        <v>517</v>
      </c>
      <c r="P75" s="39" t="s">
        <v>518</v>
      </c>
      <c r="Q75" s="39" t="s">
        <v>519</v>
      </c>
      <c r="R75" s="39"/>
    </row>
    <row r="76" spans="1:18" ht="303" thickBot="1" x14ac:dyDescent="0.35">
      <c r="A76" s="27" t="s">
        <v>520</v>
      </c>
      <c r="B76" s="37" t="s">
        <v>521</v>
      </c>
      <c r="C76" s="37" t="s">
        <v>522</v>
      </c>
      <c r="D76" s="37" t="s">
        <v>523</v>
      </c>
      <c r="E76" s="37" t="s">
        <v>524</v>
      </c>
      <c r="F76" s="37" t="s">
        <v>525</v>
      </c>
      <c r="G76" s="37" t="s">
        <v>526</v>
      </c>
      <c r="H76" s="37" t="s">
        <v>527</v>
      </c>
      <c r="I76" s="37" t="s">
        <v>498</v>
      </c>
      <c r="J76" s="37" t="s">
        <v>528</v>
      </c>
      <c r="K76" s="42" t="s">
        <v>529</v>
      </c>
      <c r="L76" s="42" t="s">
        <v>529</v>
      </c>
      <c r="M76" s="42" t="s">
        <v>529</v>
      </c>
      <c r="N76" s="42" t="s">
        <v>529</v>
      </c>
      <c r="O76" s="37" t="s">
        <v>530</v>
      </c>
      <c r="P76" s="39" t="s">
        <v>531</v>
      </c>
      <c r="Q76" s="39" t="s">
        <v>532</v>
      </c>
      <c r="R76" s="39" t="s">
        <v>533</v>
      </c>
    </row>
    <row r="77" spans="1:18" ht="409.6" thickBot="1" x14ac:dyDescent="0.35">
      <c r="A77" s="27" t="s">
        <v>534</v>
      </c>
      <c r="B77" s="37" t="s">
        <v>535</v>
      </c>
      <c r="C77" s="37" t="s">
        <v>473</v>
      </c>
      <c r="D77" s="37" t="s">
        <v>473</v>
      </c>
      <c r="E77" s="37" t="s">
        <v>473</v>
      </c>
      <c r="F77" s="37" t="s">
        <v>473</v>
      </c>
      <c r="G77" s="37" t="s">
        <v>536</v>
      </c>
      <c r="H77" s="37" t="s">
        <v>473</v>
      </c>
      <c r="I77" s="37" t="s">
        <v>473</v>
      </c>
      <c r="J77" s="37" t="s">
        <v>473</v>
      </c>
      <c r="K77" s="37" t="s">
        <v>537</v>
      </c>
      <c r="L77" s="37" t="s">
        <v>537</v>
      </c>
      <c r="M77" s="37" t="s">
        <v>537</v>
      </c>
      <c r="N77" s="37" t="s">
        <v>538</v>
      </c>
      <c r="O77" s="38" t="s">
        <v>539</v>
      </c>
      <c r="P77" s="43" t="s">
        <v>540</v>
      </c>
      <c r="Q77" s="39" t="s">
        <v>541</v>
      </c>
    </row>
    <row r="78" spans="1:18" ht="389.4" thickBot="1" x14ac:dyDescent="0.35">
      <c r="A78" s="27" t="s">
        <v>542</v>
      </c>
      <c r="B78" s="37" t="s">
        <v>543</v>
      </c>
      <c r="C78" s="37" t="s">
        <v>544</v>
      </c>
      <c r="D78" s="37" t="s">
        <v>473</v>
      </c>
      <c r="E78" s="37" t="s">
        <v>473</v>
      </c>
      <c r="F78" s="37" t="s">
        <v>473</v>
      </c>
      <c r="G78" s="37" t="s">
        <v>545</v>
      </c>
      <c r="H78" s="37" t="s">
        <v>473</v>
      </c>
      <c r="I78" s="37" t="s">
        <v>473</v>
      </c>
      <c r="J78" s="37" t="s">
        <v>473</v>
      </c>
      <c r="K78" s="37" t="s">
        <v>546</v>
      </c>
      <c r="L78" s="37" t="s">
        <v>545</v>
      </c>
      <c r="M78" s="37" t="s">
        <v>546</v>
      </c>
      <c r="N78" s="37" t="s">
        <v>547</v>
      </c>
      <c r="O78" s="37" t="s">
        <v>478</v>
      </c>
      <c r="P78" s="39" t="s">
        <v>548</v>
      </c>
      <c r="Q78" s="39" t="s">
        <v>549</v>
      </c>
    </row>
    <row r="79" spans="1:18" ht="409.6" thickBot="1" x14ac:dyDescent="0.35">
      <c r="A79" s="27" t="s">
        <v>550</v>
      </c>
      <c r="B79" s="37" t="s">
        <v>551</v>
      </c>
      <c r="C79" s="37" t="s">
        <v>552</v>
      </c>
      <c r="D79" s="37" t="s">
        <v>553</v>
      </c>
      <c r="E79" s="37" t="s">
        <v>473</v>
      </c>
      <c r="F79" s="37" t="s">
        <v>554</v>
      </c>
      <c r="G79" s="37" t="s">
        <v>555</v>
      </c>
      <c r="H79" s="37" t="s">
        <v>473</v>
      </c>
      <c r="I79" s="37" t="s">
        <v>473</v>
      </c>
      <c r="J79" s="37" t="s">
        <v>473</v>
      </c>
      <c r="K79" s="37" t="s">
        <v>556</v>
      </c>
      <c r="L79" s="37" t="s">
        <v>555</v>
      </c>
      <c r="M79" s="37" t="s">
        <v>557</v>
      </c>
      <c r="N79" s="37" t="s">
        <v>558</v>
      </c>
      <c r="O79" s="39" t="s">
        <v>559</v>
      </c>
      <c r="P79" s="39" t="s">
        <v>560</v>
      </c>
      <c r="Q79" s="39" t="s">
        <v>561</v>
      </c>
      <c r="R79" s="39" t="s">
        <v>562</v>
      </c>
    </row>
    <row r="80" spans="1:18" ht="277.8" thickBot="1" x14ac:dyDescent="0.35">
      <c r="A80" s="27" t="s">
        <v>563</v>
      </c>
      <c r="B80" s="37" t="s">
        <v>564</v>
      </c>
      <c r="C80" s="37" t="s">
        <v>565</v>
      </c>
      <c r="D80" s="37" t="s">
        <v>566</v>
      </c>
      <c r="E80" s="37" t="s">
        <v>567</v>
      </c>
      <c r="F80" s="37" t="s">
        <v>568</v>
      </c>
      <c r="G80" s="37" t="s">
        <v>569</v>
      </c>
      <c r="H80" s="37" t="s">
        <v>570</v>
      </c>
      <c r="I80" s="37" t="s">
        <v>498</v>
      </c>
      <c r="J80" s="37" t="s">
        <v>571</v>
      </c>
      <c r="K80" s="37" t="s">
        <v>572</v>
      </c>
      <c r="L80" s="37" t="s">
        <v>573</v>
      </c>
      <c r="M80" s="37" t="s">
        <v>574</v>
      </c>
      <c r="N80" s="37" t="s">
        <v>572</v>
      </c>
      <c r="O80" s="37" t="s">
        <v>575</v>
      </c>
      <c r="P80" s="37" t="s">
        <v>576</v>
      </c>
      <c r="Q80" s="37" t="s">
        <v>577</v>
      </c>
      <c r="R80" s="37" t="s">
        <v>578</v>
      </c>
    </row>
    <row r="81" spans="1:18" ht="264.60000000000002" thickBot="1" x14ac:dyDescent="0.35">
      <c r="A81" s="27" t="s">
        <v>579</v>
      </c>
      <c r="B81" s="37" t="s">
        <v>580</v>
      </c>
      <c r="C81" s="37" t="s">
        <v>492</v>
      </c>
      <c r="D81" s="37" t="s">
        <v>581</v>
      </c>
      <c r="E81" s="37" t="s">
        <v>582</v>
      </c>
      <c r="F81" s="37" t="s">
        <v>583</v>
      </c>
      <c r="G81" s="37" t="s">
        <v>584</v>
      </c>
      <c r="H81" s="37" t="s">
        <v>585</v>
      </c>
      <c r="I81" s="37" t="s">
        <v>498</v>
      </c>
      <c r="J81" s="37" t="s">
        <v>586</v>
      </c>
      <c r="K81" s="37" t="s">
        <v>587</v>
      </c>
      <c r="L81" s="37" t="s">
        <v>587</v>
      </c>
      <c r="M81" s="37" t="s">
        <v>587</v>
      </c>
      <c r="N81" s="37" t="s">
        <v>587</v>
      </c>
      <c r="O81" s="37" t="s">
        <v>588</v>
      </c>
      <c r="P81" s="37" t="s">
        <v>589</v>
      </c>
      <c r="Q81" s="37" t="s">
        <v>590</v>
      </c>
      <c r="R81" s="44"/>
    </row>
    <row r="82" spans="1:18" ht="409.6" thickBot="1" x14ac:dyDescent="0.35">
      <c r="A82" s="27" t="s">
        <v>591</v>
      </c>
      <c r="B82" s="37" t="s">
        <v>592</v>
      </c>
      <c r="C82" s="37" t="s">
        <v>593</v>
      </c>
      <c r="D82" s="37" t="s">
        <v>594</v>
      </c>
      <c r="E82" s="37" t="s">
        <v>595</v>
      </c>
      <c r="F82" s="37" t="s">
        <v>596</v>
      </c>
      <c r="G82" s="37" t="s">
        <v>597</v>
      </c>
      <c r="H82" s="37" t="s">
        <v>598</v>
      </c>
      <c r="I82" s="37" t="s">
        <v>498</v>
      </c>
      <c r="J82" s="37" t="s">
        <v>599</v>
      </c>
      <c r="K82" s="37" t="s">
        <v>600</v>
      </c>
      <c r="L82" s="37" t="s">
        <v>601</v>
      </c>
      <c r="M82" s="37" t="s">
        <v>600</v>
      </c>
      <c r="N82" s="37" t="s">
        <v>600</v>
      </c>
      <c r="O82" s="37"/>
      <c r="P82" s="37" t="s">
        <v>602</v>
      </c>
      <c r="Q82" s="37" t="s">
        <v>603</v>
      </c>
      <c r="R82" s="37" t="s">
        <v>604</v>
      </c>
    </row>
    <row r="83" spans="1:18" ht="15" thickBot="1" x14ac:dyDescent="0.35">
      <c r="A83" s="8" t="s">
        <v>314</v>
      </c>
      <c r="B83" s="1"/>
      <c r="C83" s="1"/>
      <c r="D83" s="1"/>
      <c r="E83" s="1"/>
      <c r="F83" s="1"/>
      <c r="G83" s="1"/>
      <c r="H83" s="1"/>
      <c r="I83" s="1"/>
      <c r="J83" s="1"/>
      <c r="K83" s="1"/>
      <c r="L83" s="1"/>
      <c r="M83" s="1"/>
      <c r="N83" s="1"/>
      <c r="O83" s="1"/>
    </row>
    <row r="84" spans="1:18" ht="251.4" thickBot="1" x14ac:dyDescent="0.35">
      <c r="A84" s="8" t="s">
        <v>315</v>
      </c>
      <c r="B84" s="13" t="s">
        <v>605</v>
      </c>
      <c r="C84" s="31" t="s">
        <v>606</v>
      </c>
      <c r="D84" s="33">
        <v>2004</v>
      </c>
      <c r="E84" s="31" t="s">
        <v>607</v>
      </c>
      <c r="F84" s="1" t="s">
        <v>442</v>
      </c>
      <c r="G84" s="1"/>
      <c r="H84" s="1"/>
      <c r="I84" s="1" t="s">
        <v>397</v>
      </c>
      <c r="J84" s="32" t="s">
        <v>608</v>
      </c>
      <c r="K84" s="1"/>
      <c r="L84" s="1"/>
      <c r="M84" s="1"/>
      <c r="N84" s="1"/>
      <c r="O84" s="1"/>
    </row>
  </sheetData>
  <mergeCells count="5">
    <mergeCell ref="B1:O1"/>
    <mergeCell ref="B2:N2"/>
    <mergeCell ref="B4:J4"/>
    <mergeCell ref="K4:N4"/>
    <mergeCell ref="O4:O5"/>
  </mergeCells>
  <hyperlinks>
    <hyperlink ref="B24" r:id="rId1" xr:uid="{5E5735E4-66E7-43B9-A6CB-D40569DBFC19}"/>
    <hyperlink ref="O25" r:id="rId2" xr:uid="{E2D3E833-C5F1-4987-A3DB-78201420C3FA}"/>
    <hyperlink ref="B32" r:id="rId3" xr:uid="{895BD641-0F63-4687-B4E5-A519F2DF6097}"/>
    <hyperlink ref="O32" r:id="rId4" xr:uid="{37F2E4A1-2B39-4877-BC97-2FD2758F212B}"/>
    <hyperlink ref="O34" r:id="rId5" xr:uid="{34E74C47-552C-4664-A055-303EE161D08F}"/>
    <hyperlink ref="B39" r:id="rId6" xr:uid="{61C7523C-61A5-4938-814D-6808914938AC}"/>
    <hyperlink ref="B44" r:id="rId7" xr:uid="{06785A8E-17C1-44D6-9ABE-6D6F1207BE67}"/>
    <hyperlink ref="B61" r:id="rId8" xr:uid="{6A1FDFE7-525D-418A-A347-975249EBC09D}"/>
    <hyperlink ref="B64" r:id="rId9" xr:uid="{4F3465FD-9A3A-4D22-9CC0-0F4B6B8E91A8}"/>
    <hyperlink ref="B68" r:id="rId10" xr:uid="{8D4A696F-950A-43E7-B46E-9EEE44C5C8A4}"/>
    <hyperlink ref="P77" r:id="rId11" xr:uid="{5DB188EA-9809-464B-98D6-38B1A97108C5}"/>
    <hyperlink ref="B84" r:id="rId12" xr:uid="{3EDA1245-9D3C-47C9-AE64-34451DD42FEE}"/>
  </hyperlinks>
  <pageMargins left="0.70000000000000007" right="0.70000000000000007" top="0.75" bottom="0.75" header="0.30000000000000004" footer="0.3000000000000000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D391E-04E7-4D15-B0B9-FB3495932E53}">
  <dimension ref="A1:Q72"/>
  <sheetViews>
    <sheetView topLeftCell="A41" zoomScale="55" zoomScaleNormal="55" workbookViewId="0">
      <selection activeCell="U16" sqref="U16"/>
    </sheetView>
  </sheetViews>
  <sheetFormatPr defaultColWidth="11.109375" defaultRowHeight="14.4" x14ac:dyDescent="0.3"/>
  <cols>
    <col min="1" max="1" width="32.77734375" customWidth="1"/>
    <col min="2" max="7" width="11.109375" customWidth="1"/>
    <col min="8" max="8" width="15.44140625" customWidth="1"/>
    <col min="9" max="10" width="11.109375" customWidth="1"/>
    <col min="11" max="11" width="12.88671875" customWidth="1"/>
    <col min="12" max="15" width="11.109375" customWidth="1"/>
    <col min="16" max="16" width="15.77734375" customWidth="1"/>
  </cols>
  <sheetData>
    <row r="1" spans="1:17" ht="38.4" thickBot="1" x14ac:dyDescent="0.35">
      <c r="A1" s="23" t="s">
        <v>6</v>
      </c>
      <c r="B1" s="8" t="s">
        <v>51</v>
      </c>
      <c r="C1" s="8" t="s">
        <v>75</v>
      </c>
      <c r="D1" s="8" t="s">
        <v>87</v>
      </c>
      <c r="E1" s="8" t="s">
        <v>98</v>
      </c>
      <c r="F1" s="8" t="s">
        <v>109</v>
      </c>
      <c r="G1" s="8" t="s">
        <v>147</v>
      </c>
      <c r="H1" s="8" t="s">
        <v>159</v>
      </c>
      <c r="I1" s="8" t="s">
        <v>177</v>
      </c>
      <c r="J1" s="8" t="s">
        <v>190</v>
      </c>
      <c r="K1" s="8" t="s">
        <v>200</v>
      </c>
      <c r="L1" s="8" t="s">
        <v>208</v>
      </c>
      <c r="M1" s="8" t="s">
        <v>218</v>
      </c>
      <c r="N1" s="8" t="s">
        <v>249</v>
      </c>
      <c r="O1" s="8" t="s">
        <v>293</v>
      </c>
      <c r="P1" s="8" t="s">
        <v>304</v>
      </c>
      <c r="Q1" s="8" t="s">
        <v>315</v>
      </c>
    </row>
    <row r="2" spans="1:17" ht="56.25" customHeight="1" x14ac:dyDescent="0.3">
      <c r="A2" s="47" t="s">
        <v>611</v>
      </c>
    </row>
    <row r="3" spans="1:17" x14ac:dyDescent="0.3">
      <c r="A3" t="s">
        <v>612</v>
      </c>
      <c r="B3">
        <v>1</v>
      </c>
      <c r="C3">
        <v>1</v>
      </c>
      <c r="D3">
        <v>1</v>
      </c>
      <c r="E3">
        <v>1</v>
      </c>
      <c r="F3">
        <v>1</v>
      </c>
      <c r="G3">
        <v>1</v>
      </c>
      <c r="H3">
        <v>1</v>
      </c>
      <c r="I3">
        <v>1</v>
      </c>
      <c r="J3">
        <v>1</v>
      </c>
      <c r="K3">
        <v>1</v>
      </c>
      <c r="L3">
        <v>1</v>
      </c>
      <c r="M3">
        <v>1</v>
      </c>
      <c r="N3">
        <v>1</v>
      </c>
      <c r="O3">
        <v>1</v>
      </c>
      <c r="P3">
        <v>1</v>
      </c>
      <c r="Q3">
        <v>1</v>
      </c>
    </row>
    <row r="4" spans="1:17" x14ac:dyDescent="0.3">
      <c r="A4" t="s">
        <v>613</v>
      </c>
      <c r="E4">
        <v>1</v>
      </c>
      <c r="F4">
        <v>1</v>
      </c>
      <c r="G4">
        <v>1</v>
      </c>
      <c r="H4">
        <v>1</v>
      </c>
      <c r="J4">
        <v>1</v>
      </c>
      <c r="K4">
        <v>1</v>
      </c>
      <c r="L4">
        <v>1</v>
      </c>
      <c r="N4">
        <v>1</v>
      </c>
      <c r="P4">
        <v>1</v>
      </c>
      <c r="Q4">
        <v>1</v>
      </c>
    </row>
    <row r="5" spans="1:17" ht="28.8" x14ac:dyDescent="0.3">
      <c r="A5" s="10" t="s">
        <v>614</v>
      </c>
    </row>
    <row r="6" spans="1:17" ht="28.8" x14ac:dyDescent="0.3">
      <c r="A6" s="10" t="s">
        <v>615</v>
      </c>
    </row>
    <row r="7" spans="1:17" x14ac:dyDescent="0.3">
      <c r="A7" t="s">
        <v>616</v>
      </c>
    </row>
    <row r="8" spans="1:17" x14ac:dyDescent="0.3">
      <c r="A8" s="45" t="s">
        <v>609</v>
      </c>
      <c r="B8" s="45">
        <f t="shared" ref="B8:Q8" si="0">SUM(B3:B7)</f>
        <v>1</v>
      </c>
      <c r="C8" s="45">
        <f t="shared" si="0"/>
        <v>1</v>
      </c>
      <c r="D8" s="45">
        <f t="shared" si="0"/>
        <v>1</v>
      </c>
      <c r="E8" s="45">
        <f t="shared" si="0"/>
        <v>2</v>
      </c>
      <c r="F8" s="45">
        <f t="shared" si="0"/>
        <v>2</v>
      </c>
      <c r="G8" s="45">
        <f t="shared" si="0"/>
        <v>2</v>
      </c>
      <c r="H8" s="45">
        <f t="shared" si="0"/>
        <v>2</v>
      </c>
      <c r="I8" s="45">
        <f t="shared" si="0"/>
        <v>1</v>
      </c>
      <c r="J8" s="45">
        <f t="shared" si="0"/>
        <v>2</v>
      </c>
      <c r="K8" s="45">
        <f t="shared" si="0"/>
        <v>2</v>
      </c>
      <c r="L8" s="45">
        <f t="shared" si="0"/>
        <v>2</v>
      </c>
      <c r="M8" s="45">
        <f t="shared" si="0"/>
        <v>1</v>
      </c>
      <c r="N8" s="45">
        <f t="shared" si="0"/>
        <v>2</v>
      </c>
      <c r="O8" s="45">
        <f t="shared" si="0"/>
        <v>1</v>
      </c>
      <c r="P8" s="45">
        <f t="shared" si="0"/>
        <v>2</v>
      </c>
      <c r="Q8" s="45">
        <f t="shared" si="0"/>
        <v>2</v>
      </c>
    </row>
    <row r="9" spans="1:17" s="48" customFormat="1" x14ac:dyDescent="0.3">
      <c r="A9" s="48" t="s">
        <v>617</v>
      </c>
    </row>
    <row r="11" spans="1:17" ht="28.8" x14ac:dyDescent="0.3">
      <c r="A11" s="47" t="s">
        <v>618</v>
      </c>
    </row>
    <row r="12" spans="1:17" ht="28.8" x14ac:dyDescent="0.3">
      <c r="A12" s="10" t="s">
        <v>619</v>
      </c>
      <c r="B12">
        <v>1</v>
      </c>
      <c r="J12">
        <v>1</v>
      </c>
      <c r="L12">
        <v>1</v>
      </c>
    </row>
    <row r="13" spans="1:17" ht="28.8" x14ac:dyDescent="0.3">
      <c r="A13" s="10" t="s">
        <v>620</v>
      </c>
      <c r="C13">
        <v>1</v>
      </c>
      <c r="D13">
        <v>1</v>
      </c>
      <c r="E13">
        <v>1</v>
      </c>
      <c r="F13">
        <v>1</v>
      </c>
      <c r="G13">
        <v>1</v>
      </c>
      <c r="H13">
        <v>1</v>
      </c>
      <c r="K13">
        <v>1</v>
      </c>
      <c r="M13">
        <v>1</v>
      </c>
      <c r="N13">
        <v>1</v>
      </c>
      <c r="O13">
        <v>1</v>
      </c>
      <c r="P13">
        <v>1</v>
      </c>
      <c r="Q13">
        <v>1</v>
      </c>
    </row>
    <row r="14" spans="1:17" x14ac:dyDescent="0.3">
      <c r="A14" s="10" t="s">
        <v>621</v>
      </c>
      <c r="C14">
        <v>1</v>
      </c>
      <c r="D14">
        <v>1</v>
      </c>
      <c r="E14">
        <v>1</v>
      </c>
      <c r="F14">
        <v>1</v>
      </c>
      <c r="G14">
        <v>1</v>
      </c>
      <c r="I14">
        <v>1</v>
      </c>
      <c r="J14">
        <v>1</v>
      </c>
      <c r="K14">
        <v>1</v>
      </c>
      <c r="L14">
        <v>1</v>
      </c>
      <c r="M14">
        <v>1</v>
      </c>
      <c r="N14">
        <v>1</v>
      </c>
      <c r="P14">
        <v>1</v>
      </c>
      <c r="Q14">
        <v>1</v>
      </c>
    </row>
    <row r="15" spans="1:17" ht="28.8" x14ac:dyDescent="0.3">
      <c r="A15" s="10" t="s">
        <v>622</v>
      </c>
      <c r="C15">
        <v>1</v>
      </c>
      <c r="E15">
        <v>1</v>
      </c>
      <c r="H15">
        <v>1</v>
      </c>
      <c r="I15">
        <v>1</v>
      </c>
      <c r="J15">
        <v>1</v>
      </c>
      <c r="K15">
        <v>1</v>
      </c>
      <c r="M15">
        <v>1</v>
      </c>
      <c r="N15">
        <v>1</v>
      </c>
      <c r="O15">
        <v>1</v>
      </c>
      <c r="P15">
        <v>1</v>
      </c>
      <c r="Q15">
        <v>1</v>
      </c>
    </row>
    <row r="16" spans="1:17" ht="28.8" x14ac:dyDescent="0.3">
      <c r="A16" s="10" t="s">
        <v>623</v>
      </c>
      <c r="B16">
        <v>1</v>
      </c>
      <c r="E16">
        <v>1</v>
      </c>
      <c r="F16">
        <v>1</v>
      </c>
      <c r="G16">
        <v>1</v>
      </c>
      <c r="K16">
        <v>1</v>
      </c>
      <c r="M16">
        <v>1</v>
      </c>
      <c r="N16">
        <v>1</v>
      </c>
      <c r="Q16">
        <v>1</v>
      </c>
    </row>
    <row r="17" spans="1:17" ht="28.8" x14ac:dyDescent="0.3">
      <c r="A17" s="10" t="s">
        <v>624</v>
      </c>
    </row>
    <row r="18" spans="1:17" x14ac:dyDescent="0.3">
      <c r="A18" s="10" t="s">
        <v>625</v>
      </c>
      <c r="B18">
        <v>1</v>
      </c>
      <c r="C18">
        <v>1</v>
      </c>
      <c r="D18">
        <v>1</v>
      </c>
      <c r="E18">
        <v>1</v>
      </c>
      <c r="F18">
        <v>1</v>
      </c>
      <c r="H18">
        <v>1</v>
      </c>
      <c r="J18">
        <v>1</v>
      </c>
      <c r="K18">
        <v>1</v>
      </c>
      <c r="L18">
        <v>1</v>
      </c>
      <c r="M18">
        <v>1</v>
      </c>
      <c r="N18">
        <v>1</v>
      </c>
      <c r="O18">
        <v>1</v>
      </c>
      <c r="P18">
        <v>1</v>
      </c>
      <c r="Q18">
        <v>1</v>
      </c>
    </row>
    <row r="19" spans="1:17" ht="28.8" x14ac:dyDescent="0.3">
      <c r="A19" s="10" t="s">
        <v>626</v>
      </c>
      <c r="K19">
        <v>1</v>
      </c>
      <c r="N19">
        <v>1</v>
      </c>
    </row>
    <row r="20" spans="1:17" s="45" customFormat="1" x14ac:dyDescent="0.3">
      <c r="A20" s="47" t="s">
        <v>609</v>
      </c>
      <c r="B20" s="45">
        <f t="shared" ref="B20:Q20" si="1">SUM(B13:B19)</f>
        <v>2</v>
      </c>
      <c r="C20" s="45">
        <f t="shared" si="1"/>
        <v>4</v>
      </c>
      <c r="D20" s="45">
        <f t="shared" si="1"/>
        <v>3</v>
      </c>
      <c r="E20" s="45">
        <f t="shared" si="1"/>
        <v>5</v>
      </c>
      <c r="F20" s="45">
        <f t="shared" si="1"/>
        <v>4</v>
      </c>
      <c r="G20" s="45">
        <f t="shared" si="1"/>
        <v>3</v>
      </c>
      <c r="H20" s="45">
        <f t="shared" si="1"/>
        <v>3</v>
      </c>
      <c r="I20" s="45">
        <f t="shared" si="1"/>
        <v>2</v>
      </c>
      <c r="J20" s="45">
        <f t="shared" si="1"/>
        <v>3</v>
      </c>
      <c r="K20" s="45">
        <f t="shared" si="1"/>
        <v>6</v>
      </c>
      <c r="L20" s="45">
        <f t="shared" si="1"/>
        <v>2</v>
      </c>
      <c r="M20" s="45">
        <f t="shared" si="1"/>
        <v>5</v>
      </c>
      <c r="N20" s="45">
        <f t="shared" si="1"/>
        <v>6</v>
      </c>
      <c r="O20" s="45">
        <f t="shared" si="1"/>
        <v>3</v>
      </c>
      <c r="P20" s="45">
        <f t="shared" si="1"/>
        <v>4</v>
      </c>
      <c r="Q20" s="45">
        <f t="shared" si="1"/>
        <v>5</v>
      </c>
    </row>
    <row r="21" spans="1:17" s="48" customFormat="1" x14ac:dyDescent="0.3">
      <c r="A21" s="48" t="s">
        <v>627</v>
      </c>
    </row>
    <row r="22" spans="1:17" x14ac:dyDescent="0.3">
      <c r="A22" s="10"/>
    </row>
    <row r="23" spans="1:17" x14ac:dyDescent="0.3">
      <c r="A23" s="45" t="s">
        <v>628</v>
      </c>
    </row>
    <row r="24" spans="1:17" ht="28.8" x14ac:dyDescent="0.3">
      <c r="A24" s="10" t="s">
        <v>629</v>
      </c>
      <c r="B24">
        <v>1</v>
      </c>
      <c r="E24">
        <v>1</v>
      </c>
      <c r="F24">
        <v>1</v>
      </c>
      <c r="G24">
        <v>1</v>
      </c>
      <c r="H24">
        <v>1</v>
      </c>
      <c r="K24">
        <v>1</v>
      </c>
      <c r="L24">
        <v>1</v>
      </c>
      <c r="M24">
        <v>1</v>
      </c>
      <c r="N24">
        <v>1</v>
      </c>
      <c r="P24">
        <v>1</v>
      </c>
      <c r="Q24">
        <v>1</v>
      </c>
    </row>
    <row r="25" spans="1:17" ht="28.8" x14ac:dyDescent="0.3">
      <c r="A25" s="10" t="s">
        <v>630</v>
      </c>
      <c r="B25">
        <v>1</v>
      </c>
      <c r="D25">
        <v>1</v>
      </c>
      <c r="E25">
        <v>1</v>
      </c>
      <c r="F25">
        <v>1</v>
      </c>
      <c r="G25">
        <v>1</v>
      </c>
      <c r="H25">
        <v>1</v>
      </c>
      <c r="I25">
        <v>1</v>
      </c>
      <c r="J25">
        <v>1</v>
      </c>
      <c r="K25">
        <v>1</v>
      </c>
      <c r="L25">
        <v>1</v>
      </c>
      <c r="M25">
        <v>1</v>
      </c>
      <c r="N25">
        <v>1</v>
      </c>
      <c r="P25">
        <v>1</v>
      </c>
      <c r="Q25">
        <v>1</v>
      </c>
    </row>
    <row r="26" spans="1:17" x14ac:dyDescent="0.3">
      <c r="A26" s="10" t="s">
        <v>631</v>
      </c>
      <c r="K26">
        <v>1</v>
      </c>
      <c r="Q26">
        <v>1</v>
      </c>
    </row>
    <row r="27" spans="1:17" ht="28.8" x14ac:dyDescent="0.3">
      <c r="A27" s="10" t="s">
        <v>632</v>
      </c>
      <c r="B27">
        <v>1</v>
      </c>
      <c r="E27">
        <v>1</v>
      </c>
      <c r="F27">
        <v>1</v>
      </c>
      <c r="G27">
        <v>1</v>
      </c>
      <c r="K27">
        <v>1</v>
      </c>
      <c r="L27">
        <v>1</v>
      </c>
      <c r="M27">
        <v>1</v>
      </c>
      <c r="N27">
        <v>1</v>
      </c>
      <c r="P27">
        <v>1</v>
      </c>
      <c r="Q27">
        <v>1</v>
      </c>
    </row>
    <row r="28" spans="1:17" ht="28.8" x14ac:dyDescent="0.3">
      <c r="A28" s="10" t="s">
        <v>633</v>
      </c>
    </row>
    <row r="29" spans="1:17" s="45" customFormat="1" x14ac:dyDescent="0.3">
      <c r="A29" s="47" t="s">
        <v>609</v>
      </c>
      <c r="B29" s="45">
        <f t="shared" ref="B29:Q29" si="2">SUM(B24:B28)</f>
        <v>3</v>
      </c>
      <c r="C29" s="45">
        <f t="shared" si="2"/>
        <v>0</v>
      </c>
      <c r="D29" s="45">
        <f t="shared" si="2"/>
        <v>1</v>
      </c>
      <c r="E29" s="45">
        <f t="shared" si="2"/>
        <v>3</v>
      </c>
      <c r="F29" s="45">
        <f t="shared" si="2"/>
        <v>3</v>
      </c>
      <c r="G29" s="45">
        <f t="shared" si="2"/>
        <v>3</v>
      </c>
      <c r="H29" s="45">
        <f t="shared" si="2"/>
        <v>2</v>
      </c>
      <c r="I29" s="45">
        <f t="shared" si="2"/>
        <v>1</v>
      </c>
      <c r="J29" s="45">
        <f t="shared" si="2"/>
        <v>1</v>
      </c>
      <c r="K29" s="45">
        <f t="shared" si="2"/>
        <v>4</v>
      </c>
      <c r="L29" s="45">
        <f t="shared" si="2"/>
        <v>3</v>
      </c>
      <c r="M29" s="45">
        <f t="shared" si="2"/>
        <v>3</v>
      </c>
      <c r="N29" s="45">
        <f t="shared" si="2"/>
        <v>3</v>
      </c>
      <c r="O29" s="45">
        <f t="shared" si="2"/>
        <v>0</v>
      </c>
      <c r="P29" s="45">
        <f t="shared" si="2"/>
        <v>3</v>
      </c>
      <c r="Q29" s="45">
        <f t="shared" si="2"/>
        <v>4</v>
      </c>
    </row>
    <row r="30" spans="1:17" s="48" customFormat="1" x14ac:dyDescent="0.3">
      <c r="A30" s="48" t="s">
        <v>634</v>
      </c>
    </row>
    <row r="31" spans="1:17" x14ac:dyDescent="0.3">
      <c r="A31" s="10"/>
    </row>
    <row r="32" spans="1:17" ht="28.8" x14ac:dyDescent="0.3">
      <c r="A32" s="47" t="s">
        <v>635</v>
      </c>
    </row>
    <row r="33" spans="1:17" x14ac:dyDescent="0.3">
      <c r="A33" t="s">
        <v>636</v>
      </c>
      <c r="F33">
        <v>1</v>
      </c>
      <c r="K33">
        <v>1</v>
      </c>
      <c r="Q33">
        <v>1</v>
      </c>
    </row>
    <row r="34" spans="1:17" ht="28.8" x14ac:dyDescent="0.3">
      <c r="A34" s="10" t="s">
        <v>637</v>
      </c>
      <c r="E34">
        <v>1</v>
      </c>
      <c r="Q34">
        <v>1</v>
      </c>
    </row>
    <row r="35" spans="1:17" ht="28.8" x14ac:dyDescent="0.3">
      <c r="A35" s="10" t="s">
        <v>638</v>
      </c>
    </row>
    <row r="36" spans="1:17" ht="43.2" x14ac:dyDescent="0.3">
      <c r="A36" s="10" t="s">
        <v>639</v>
      </c>
    </row>
    <row r="37" spans="1:17" ht="28.8" x14ac:dyDescent="0.3">
      <c r="A37" s="10" t="s">
        <v>640</v>
      </c>
    </row>
    <row r="38" spans="1:17" s="45" customFormat="1" x14ac:dyDescent="0.3">
      <c r="A38" s="47" t="s">
        <v>609</v>
      </c>
      <c r="B38" s="45">
        <f t="shared" ref="B38:Q38" si="3">SUM(B33:B37)</f>
        <v>0</v>
      </c>
      <c r="C38" s="45">
        <f t="shared" si="3"/>
        <v>0</v>
      </c>
      <c r="D38" s="45">
        <f t="shared" si="3"/>
        <v>0</v>
      </c>
      <c r="E38" s="45">
        <f t="shared" si="3"/>
        <v>1</v>
      </c>
      <c r="F38" s="45">
        <f t="shared" si="3"/>
        <v>1</v>
      </c>
      <c r="G38" s="45">
        <f t="shared" si="3"/>
        <v>0</v>
      </c>
      <c r="H38" s="45">
        <f t="shared" si="3"/>
        <v>0</v>
      </c>
      <c r="I38" s="45">
        <f t="shared" si="3"/>
        <v>0</v>
      </c>
      <c r="J38" s="45">
        <f t="shared" si="3"/>
        <v>0</v>
      </c>
      <c r="K38" s="45">
        <f t="shared" si="3"/>
        <v>1</v>
      </c>
      <c r="L38" s="45">
        <f t="shared" si="3"/>
        <v>0</v>
      </c>
      <c r="M38" s="45">
        <f t="shared" si="3"/>
        <v>0</v>
      </c>
      <c r="N38" s="45">
        <f t="shared" si="3"/>
        <v>0</v>
      </c>
      <c r="O38" s="45">
        <f t="shared" si="3"/>
        <v>0</v>
      </c>
      <c r="P38" s="45">
        <f t="shared" si="3"/>
        <v>0</v>
      </c>
      <c r="Q38" s="45">
        <f t="shared" si="3"/>
        <v>2</v>
      </c>
    </row>
    <row r="39" spans="1:17" s="48" customFormat="1" x14ac:dyDescent="0.3">
      <c r="A39" s="48" t="s">
        <v>641</v>
      </c>
    </row>
    <row r="40" spans="1:17" x14ac:dyDescent="0.3">
      <c r="A40" s="10"/>
    </row>
    <row r="41" spans="1:17" ht="28.8" x14ac:dyDescent="0.3">
      <c r="A41" s="47" t="s">
        <v>642</v>
      </c>
    </row>
    <row r="42" spans="1:17" ht="28.8" x14ac:dyDescent="0.3">
      <c r="A42" s="10" t="s">
        <v>643</v>
      </c>
      <c r="E42">
        <v>1</v>
      </c>
      <c r="F42">
        <v>1</v>
      </c>
      <c r="G42">
        <v>1</v>
      </c>
      <c r="H42">
        <v>1</v>
      </c>
      <c r="I42">
        <v>1</v>
      </c>
      <c r="K42">
        <v>1</v>
      </c>
      <c r="N42">
        <v>1</v>
      </c>
      <c r="Q42">
        <v>1</v>
      </c>
    </row>
    <row r="43" spans="1:17" ht="28.8" x14ac:dyDescent="0.3">
      <c r="A43" s="10" t="s">
        <v>644</v>
      </c>
      <c r="E43">
        <v>1</v>
      </c>
      <c r="F43">
        <v>1</v>
      </c>
      <c r="K43">
        <v>1</v>
      </c>
      <c r="L43">
        <v>1</v>
      </c>
      <c r="N43">
        <v>1</v>
      </c>
    </row>
    <row r="44" spans="1:17" x14ac:dyDescent="0.3">
      <c r="A44" s="10" t="s">
        <v>645</v>
      </c>
      <c r="E44">
        <v>1</v>
      </c>
      <c r="G44">
        <v>1</v>
      </c>
      <c r="K44">
        <v>1</v>
      </c>
      <c r="N44">
        <v>1</v>
      </c>
      <c r="Q44">
        <v>1</v>
      </c>
    </row>
    <row r="45" spans="1:17" ht="43.2" x14ac:dyDescent="0.3">
      <c r="A45" s="10" t="s">
        <v>646</v>
      </c>
      <c r="E45">
        <v>1</v>
      </c>
      <c r="G45">
        <v>1</v>
      </c>
      <c r="N45">
        <v>1</v>
      </c>
      <c r="Q45">
        <v>1</v>
      </c>
    </row>
    <row r="46" spans="1:17" ht="28.8" x14ac:dyDescent="0.3">
      <c r="A46" s="10" t="s">
        <v>647</v>
      </c>
      <c r="G46">
        <v>1</v>
      </c>
    </row>
    <row r="47" spans="1:17" s="45" customFormat="1" x14ac:dyDescent="0.3">
      <c r="A47" s="47" t="s">
        <v>609</v>
      </c>
      <c r="B47" s="45">
        <f t="shared" ref="B47:Q47" si="4">SUM(B42:B46)</f>
        <v>0</v>
      </c>
      <c r="C47" s="45">
        <f t="shared" si="4"/>
        <v>0</v>
      </c>
      <c r="D47" s="45">
        <f t="shared" si="4"/>
        <v>0</v>
      </c>
      <c r="E47" s="45">
        <f t="shared" si="4"/>
        <v>4</v>
      </c>
      <c r="F47" s="45">
        <f t="shared" si="4"/>
        <v>2</v>
      </c>
      <c r="G47" s="45">
        <f t="shared" si="4"/>
        <v>4</v>
      </c>
      <c r="H47" s="45">
        <f t="shared" si="4"/>
        <v>1</v>
      </c>
      <c r="I47" s="45">
        <f t="shared" si="4"/>
        <v>1</v>
      </c>
      <c r="J47" s="45">
        <f t="shared" si="4"/>
        <v>0</v>
      </c>
      <c r="K47" s="45">
        <f t="shared" si="4"/>
        <v>3</v>
      </c>
      <c r="L47" s="45">
        <f t="shared" si="4"/>
        <v>1</v>
      </c>
      <c r="M47" s="45">
        <f t="shared" si="4"/>
        <v>0</v>
      </c>
      <c r="N47" s="45">
        <f t="shared" si="4"/>
        <v>4</v>
      </c>
      <c r="O47" s="45">
        <f t="shared" si="4"/>
        <v>0</v>
      </c>
      <c r="P47" s="45">
        <f t="shared" si="4"/>
        <v>0</v>
      </c>
      <c r="Q47" s="45">
        <f t="shared" si="4"/>
        <v>3</v>
      </c>
    </row>
    <row r="48" spans="1:17" s="48" customFormat="1" x14ac:dyDescent="0.3">
      <c r="A48" s="48" t="s">
        <v>648</v>
      </c>
    </row>
    <row r="49" spans="1:17" x14ac:dyDescent="0.3">
      <c r="A49" s="10"/>
    </row>
    <row r="50" spans="1:17" ht="28.8" x14ac:dyDescent="0.3">
      <c r="A50" s="47" t="s">
        <v>649</v>
      </c>
    </row>
    <row r="51" spans="1:17" x14ac:dyDescent="0.3">
      <c r="A51" s="10" t="s">
        <v>650</v>
      </c>
      <c r="E51">
        <v>1</v>
      </c>
      <c r="N51">
        <v>1</v>
      </c>
      <c r="Q51">
        <v>1</v>
      </c>
    </row>
    <row r="52" spans="1:17" ht="28.8" x14ac:dyDescent="0.3">
      <c r="A52" s="10" t="s">
        <v>651</v>
      </c>
      <c r="G52">
        <v>1</v>
      </c>
      <c r="K52">
        <v>1</v>
      </c>
      <c r="L52">
        <v>1</v>
      </c>
      <c r="N52">
        <v>1</v>
      </c>
    </row>
    <row r="53" spans="1:17" ht="28.8" x14ac:dyDescent="0.3">
      <c r="A53" s="10" t="s">
        <v>652</v>
      </c>
      <c r="E53">
        <v>1</v>
      </c>
      <c r="F53">
        <v>1</v>
      </c>
      <c r="Q53">
        <v>1</v>
      </c>
    </row>
    <row r="54" spans="1:17" ht="28.8" x14ac:dyDescent="0.3">
      <c r="A54" s="10" t="s">
        <v>653</v>
      </c>
      <c r="E54">
        <v>1</v>
      </c>
      <c r="F54">
        <v>1</v>
      </c>
    </row>
    <row r="55" spans="1:17" ht="28.8" x14ac:dyDescent="0.3">
      <c r="A55" s="10" t="s">
        <v>654</v>
      </c>
    </row>
    <row r="56" spans="1:17" ht="28.8" x14ac:dyDescent="0.3">
      <c r="A56" s="10" t="s">
        <v>655</v>
      </c>
      <c r="E56">
        <v>1</v>
      </c>
      <c r="K56">
        <v>1</v>
      </c>
      <c r="N56">
        <v>1</v>
      </c>
      <c r="P56">
        <v>1</v>
      </c>
      <c r="Q56">
        <v>1</v>
      </c>
    </row>
    <row r="57" spans="1:17" s="45" customFormat="1" x14ac:dyDescent="0.3">
      <c r="A57" s="47" t="s">
        <v>609</v>
      </c>
      <c r="B57" s="45">
        <f t="shared" ref="B57:Q57" si="5">SUM(B51:B56)</f>
        <v>0</v>
      </c>
      <c r="C57" s="45">
        <f t="shared" si="5"/>
        <v>0</v>
      </c>
      <c r="D57" s="45">
        <f t="shared" si="5"/>
        <v>0</v>
      </c>
      <c r="E57" s="45">
        <f t="shared" si="5"/>
        <v>4</v>
      </c>
      <c r="F57" s="45">
        <f t="shared" si="5"/>
        <v>2</v>
      </c>
      <c r="G57" s="45">
        <f t="shared" si="5"/>
        <v>1</v>
      </c>
      <c r="H57" s="45">
        <f t="shared" si="5"/>
        <v>0</v>
      </c>
      <c r="I57" s="45">
        <f t="shared" si="5"/>
        <v>0</v>
      </c>
      <c r="J57" s="45">
        <f t="shared" si="5"/>
        <v>0</v>
      </c>
      <c r="K57" s="45">
        <f t="shared" si="5"/>
        <v>2</v>
      </c>
      <c r="L57" s="45">
        <f t="shared" si="5"/>
        <v>1</v>
      </c>
      <c r="M57" s="45">
        <f t="shared" si="5"/>
        <v>0</v>
      </c>
      <c r="N57" s="45">
        <f t="shared" si="5"/>
        <v>3</v>
      </c>
      <c r="O57" s="45">
        <f t="shared" si="5"/>
        <v>0</v>
      </c>
      <c r="P57" s="45">
        <f t="shared" si="5"/>
        <v>1</v>
      </c>
      <c r="Q57" s="45">
        <f t="shared" si="5"/>
        <v>3</v>
      </c>
    </row>
    <row r="58" spans="1:17" x14ac:dyDescent="0.3">
      <c r="A58" s="48" t="s">
        <v>656</v>
      </c>
    </row>
    <row r="59" spans="1:17" x14ac:dyDescent="0.3">
      <c r="A59" s="10"/>
    </row>
    <row r="60" spans="1:17" ht="43.2" x14ac:dyDescent="0.3">
      <c r="A60" s="47" t="s">
        <v>657</v>
      </c>
      <c r="G60">
        <v>1</v>
      </c>
      <c r="K60">
        <v>1</v>
      </c>
      <c r="Q60">
        <v>1</v>
      </c>
    </row>
    <row r="61" spans="1:17" x14ac:dyDescent="0.3">
      <c r="A61" s="48" t="s">
        <v>641</v>
      </c>
    </row>
    <row r="62" spans="1:17" x14ac:dyDescent="0.3">
      <c r="A62" s="47"/>
    </row>
    <row r="63" spans="1:17" ht="28.8" x14ac:dyDescent="0.3">
      <c r="A63" s="47" t="s">
        <v>658</v>
      </c>
      <c r="E63">
        <v>1</v>
      </c>
      <c r="G63">
        <v>1</v>
      </c>
      <c r="H63">
        <v>1</v>
      </c>
      <c r="K63">
        <v>1</v>
      </c>
      <c r="N63">
        <v>1</v>
      </c>
      <c r="Q63">
        <v>1</v>
      </c>
    </row>
    <row r="64" spans="1:17" x14ac:dyDescent="0.3">
      <c r="A64" s="10" t="s">
        <v>659</v>
      </c>
    </row>
    <row r="65" spans="1:17" ht="28.8" x14ac:dyDescent="0.3">
      <c r="A65" s="10" t="s">
        <v>660</v>
      </c>
    </row>
    <row r="66" spans="1:17" ht="28.8" x14ac:dyDescent="0.3">
      <c r="A66" s="10" t="s">
        <v>661</v>
      </c>
    </row>
    <row r="67" spans="1:17" ht="28.8" x14ac:dyDescent="0.3">
      <c r="A67" s="10" t="s">
        <v>662</v>
      </c>
    </row>
    <row r="68" spans="1:17" ht="28.8" x14ac:dyDescent="0.3">
      <c r="A68" s="10" t="s">
        <v>663</v>
      </c>
    </row>
    <row r="69" spans="1:17" x14ac:dyDescent="0.3">
      <c r="A69" s="48" t="s">
        <v>641</v>
      </c>
    </row>
    <row r="72" spans="1:17" x14ac:dyDescent="0.3">
      <c r="A72" s="45" t="s">
        <v>664</v>
      </c>
      <c r="B72">
        <f t="shared" ref="B72:Q72" si="6">B8+B20+B29+B38+B47+B57+B63</f>
        <v>6</v>
      </c>
      <c r="C72">
        <f t="shared" si="6"/>
        <v>5</v>
      </c>
      <c r="D72">
        <f t="shared" si="6"/>
        <v>5</v>
      </c>
      <c r="E72">
        <f t="shared" si="6"/>
        <v>20</v>
      </c>
      <c r="F72">
        <f t="shared" si="6"/>
        <v>14</v>
      </c>
      <c r="G72">
        <f t="shared" si="6"/>
        <v>14</v>
      </c>
      <c r="H72">
        <f t="shared" si="6"/>
        <v>9</v>
      </c>
      <c r="I72">
        <f t="shared" si="6"/>
        <v>5</v>
      </c>
      <c r="J72">
        <f t="shared" si="6"/>
        <v>6</v>
      </c>
      <c r="K72">
        <f t="shared" si="6"/>
        <v>19</v>
      </c>
      <c r="L72">
        <f t="shared" si="6"/>
        <v>9</v>
      </c>
      <c r="M72">
        <f t="shared" si="6"/>
        <v>9</v>
      </c>
      <c r="N72">
        <f t="shared" si="6"/>
        <v>19</v>
      </c>
      <c r="O72">
        <f t="shared" si="6"/>
        <v>4</v>
      </c>
      <c r="P72">
        <f t="shared" si="6"/>
        <v>10</v>
      </c>
      <c r="Q72">
        <f t="shared" si="6"/>
        <v>20</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1B56D-A6CC-4B74-88FF-CBB68ABEBDAE}">
  <dimension ref="A1:R117"/>
  <sheetViews>
    <sheetView topLeftCell="A29" workbookViewId="0">
      <selection activeCell="H38" sqref="H38"/>
    </sheetView>
  </sheetViews>
  <sheetFormatPr defaultColWidth="11.109375" defaultRowHeight="14.4" x14ac:dyDescent="0.3"/>
  <cols>
    <col min="1" max="1" width="35.77734375" customWidth="1"/>
    <col min="2" max="2" width="11.109375" customWidth="1"/>
    <col min="3" max="3" width="9.88671875" customWidth="1"/>
    <col min="4" max="4" width="9.33203125" customWidth="1"/>
    <col min="5" max="5" width="9.5546875" customWidth="1"/>
    <col min="6" max="7" width="10.21875" customWidth="1"/>
    <col min="8" max="8" width="9.109375" customWidth="1"/>
    <col min="9" max="9" width="9.5546875" customWidth="1"/>
    <col min="10" max="10" width="11.109375" customWidth="1"/>
  </cols>
  <sheetData>
    <row r="1" spans="1:18" x14ac:dyDescent="0.3">
      <c r="B1" s="72" t="s">
        <v>677</v>
      </c>
      <c r="C1" s="73" t="s">
        <v>678</v>
      </c>
    </row>
    <row r="2" spans="1:18" x14ac:dyDescent="0.3">
      <c r="A2" t="s">
        <v>679</v>
      </c>
      <c r="B2" s="72"/>
      <c r="C2" s="73"/>
    </row>
    <row r="3" spans="1:18" ht="43.2" x14ac:dyDescent="0.3">
      <c r="A3" s="47" t="s">
        <v>611</v>
      </c>
    </row>
    <row r="4" spans="1:18" x14ac:dyDescent="0.3">
      <c r="A4" t="s">
        <v>612</v>
      </c>
      <c r="B4">
        <v>1</v>
      </c>
      <c r="C4" s="50">
        <f>2</f>
        <v>2</v>
      </c>
      <c r="D4" t="s">
        <v>680</v>
      </c>
      <c r="P4" s="53" t="s">
        <v>681</v>
      </c>
      <c r="Q4" s="51" t="s">
        <v>682</v>
      </c>
      <c r="R4" s="57" t="s">
        <v>683</v>
      </c>
    </row>
    <row r="5" spans="1:18" x14ac:dyDescent="0.3">
      <c r="A5" t="s">
        <v>613</v>
      </c>
      <c r="B5">
        <v>1</v>
      </c>
      <c r="C5" s="50">
        <v>1</v>
      </c>
      <c r="D5" t="s">
        <v>684</v>
      </c>
      <c r="P5" s="53" t="s">
        <v>685</v>
      </c>
      <c r="Q5" s="51" t="s">
        <v>686</v>
      </c>
      <c r="R5" s="57" t="s">
        <v>687</v>
      </c>
    </row>
    <row r="6" spans="1:18" x14ac:dyDescent="0.3">
      <c r="A6" t="s">
        <v>688</v>
      </c>
      <c r="C6" s="50">
        <v>1</v>
      </c>
      <c r="P6" s="53" t="s">
        <v>689</v>
      </c>
      <c r="Q6" s="51" t="s">
        <v>690</v>
      </c>
      <c r="R6" s="57" t="s">
        <v>691</v>
      </c>
    </row>
    <row r="7" spans="1:18" x14ac:dyDescent="0.3">
      <c r="A7" t="s">
        <v>692</v>
      </c>
      <c r="C7" s="50">
        <v>2</v>
      </c>
      <c r="P7" s="53" t="s">
        <v>681</v>
      </c>
      <c r="Q7" s="51" t="s">
        <v>693</v>
      </c>
      <c r="R7" s="57" t="s">
        <v>694</v>
      </c>
    </row>
    <row r="8" spans="1:18" x14ac:dyDescent="0.3">
      <c r="A8" t="s">
        <v>695</v>
      </c>
      <c r="C8" s="50">
        <v>1</v>
      </c>
      <c r="P8" s="53" t="s">
        <v>696</v>
      </c>
      <c r="Q8" s="51" t="s">
        <v>697</v>
      </c>
      <c r="R8" s="57" t="s">
        <v>698</v>
      </c>
    </row>
    <row r="11" spans="1:18" x14ac:dyDescent="0.3">
      <c r="A11" s="45" t="s">
        <v>609</v>
      </c>
      <c r="B11" s="45">
        <f>SUM(B3:B5)</f>
        <v>2</v>
      </c>
      <c r="C11" s="45">
        <f>SUM(C4:C8)</f>
        <v>7</v>
      </c>
      <c r="D11" t="s">
        <v>699</v>
      </c>
    </row>
    <row r="13" spans="1:18" ht="28.8" x14ac:dyDescent="0.3">
      <c r="A13" s="47" t="s">
        <v>618</v>
      </c>
    </row>
    <row r="14" spans="1:18" ht="28.8" x14ac:dyDescent="0.3">
      <c r="A14" s="10" t="s">
        <v>619</v>
      </c>
      <c r="B14">
        <v>0</v>
      </c>
      <c r="C14" s="50">
        <v>2</v>
      </c>
      <c r="P14" s="53" t="s">
        <v>700</v>
      </c>
      <c r="Q14" s="51" t="s">
        <v>701</v>
      </c>
      <c r="R14" s="57" t="s">
        <v>702</v>
      </c>
    </row>
    <row r="15" spans="1:18" ht="28.8" x14ac:dyDescent="0.3">
      <c r="A15" s="10" t="s">
        <v>620</v>
      </c>
      <c r="B15">
        <v>1</v>
      </c>
      <c r="C15" s="50">
        <v>2</v>
      </c>
      <c r="P15" s="53" t="s">
        <v>681</v>
      </c>
      <c r="Q15" s="51" t="s">
        <v>703</v>
      </c>
      <c r="R15" s="57" t="s">
        <v>704</v>
      </c>
    </row>
    <row r="16" spans="1:18" x14ac:dyDescent="0.3">
      <c r="A16" s="10" t="s">
        <v>621</v>
      </c>
      <c r="B16">
        <v>1</v>
      </c>
      <c r="C16" s="50">
        <v>1</v>
      </c>
      <c r="E16" t="s">
        <v>705</v>
      </c>
      <c r="P16" s="53" t="s">
        <v>706</v>
      </c>
      <c r="Q16" s="51" t="s">
        <v>697</v>
      </c>
      <c r="R16" s="57" t="s">
        <v>691</v>
      </c>
    </row>
    <row r="17" spans="1:18" ht="28.8" x14ac:dyDescent="0.3">
      <c r="A17" s="10" t="s">
        <v>622</v>
      </c>
      <c r="B17">
        <v>1</v>
      </c>
      <c r="C17" s="50">
        <v>2</v>
      </c>
      <c r="P17" s="53" t="s">
        <v>685</v>
      </c>
      <c r="Q17" s="51" t="s">
        <v>701</v>
      </c>
      <c r="R17" s="57" t="s">
        <v>707</v>
      </c>
    </row>
    <row r="18" spans="1:18" ht="28.8" x14ac:dyDescent="0.3">
      <c r="A18" s="10" t="s">
        <v>623</v>
      </c>
      <c r="B18">
        <v>1</v>
      </c>
      <c r="C18" s="50">
        <v>2</v>
      </c>
      <c r="P18" s="53" t="s">
        <v>689</v>
      </c>
      <c r="Q18" s="51" t="s">
        <v>701</v>
      </c>
      <c r="R18" s="57" t="s">
        <v>694</v>
      </c>
    </row>
    <row r="19" spans="1:18" ht="28.8" x14ac:dyDescent="0.3">
      <c r="A19" s="10" t="s">
        <v>624</v>
      </c>
      <c r="B19">
        <v>1</v>
      </c>
      <c r="C19" s="50">
        <v>2</v>
      </c>
      <c r="E19" t="s">
        <v>708</v>
      </c>
      <c r="P19" s="53" t="s">
        <v>681</v>
      </c>
      <c r="Q19" s="51" t="s">
        <v>701</v>
      </c>
      <c r="R19" s="57" t="s">
        <v>694</v>
      </c>
    </row>
    <row r="20" spans="1:18" x14ac:dyDescent="0.3">
      <c r="A20" s="10" t="s">
        <v>625</v>
      </c>
      <c r="B20">
        <v>1</v>
      </c>
      <c r="C20" s="50">
        <v>2</v>
      </c>
      <c r="P20" s="53" t="s">
        <v>685</v>
      </c>
      <c r="Q20" s="51" t="s">
        <v>703</v>
      </c>
      <c r="R20" s="57" t="s">
        <v>709</v>
      </c>
    </row>
    <row r="21" spans="1:18" ht="28.8" x14ac:dyDescent="0.3">
      <c r="A21" s="10" t="s">
        <v>626</v>
      </c>
      <c r="B21">
        <v>1</v>
      </c>
      <c r="C21" s="50">
        <v>2</v>
      </c>
      <c r="P21" s="53" t="s">
        <v>681</v>
      </c>
      <c r="Q21" s="51" t="s">
        <v>710</v>
      </c>
      <c r="R21" s="57" t="s">
        <v>711</v>
      </c>
    </row>
    <row r="22" spans="1:18" x14ac:dyDescent="0.3">
      <c r="A22" s="47" t="s">
        <v>609</v>
      </c>
      <c r="B22" s="45">
        <f>SUM(B14:B21)</f>
        <v>7</v>
      </c>
      <c r="C22" s="45">
        <f>SUM(C14:C21)</f>
        <v>15</v>
      </c>
    </row>
    <row r="23" spans="1:18" x14ac:dyDescent="0.3">
      <c r="A23" s="10"/>
    </row>
    <row r="24" spans="1:18" x14ac:dyDescent="0.3">
      <c r="A24" s="45" t="s">
        <v>628</v>
      </c>
    </row>
    <row r="25" spans="1:18" ht="28.8" x14ac:dyDescent="0.3">
      <c r="A25" s="10" t="s">
        <v>629</v>
      </c>
      <c r="B25">
        <v>1</v>
      </c>
      <c r="C25" s="50">
        <v>2</v>
      </c>
      <c r="P25" s="53" t="s">
        <v>681</v>
      </c>
      <c r="Q25" s="51" t="s">
        <v>710</v>
      </c>
      <c r="R25" s="57" t="s">
        <v>711</v>
      </c>
    </row>
    <row r="26" spans="1:18" ht="28.8" x14ac:dyDescent="0.3">
      <c r="A26" s="10" t="s">
        <v>630</v>
      </c>
      <c r="B26">
        <v>2</v>
      </c>
      <c r="C26" s="50">
        <v>2</v>
      </c>
      <c r="E26" t="s">
        <v>712</v>
      </c>
      <c r="P26" s="53" t="s">
        <v>689</v>
      </c>
      <c r="Q26" s="51" t="s">
        <v>713</v>
      </c>
      <c r="R26" s="57" t="s">
        <v>714</v>
      </c>
    </row>
    <row r="27" spans="1:18" x14ac:dyDescent="0.3">
      <c r="A27" s="10" t="s">
        <v>631</v>
      </c>
      <c r="B27">
        <v>2</v>
      </c>
      <c r="C27" s="50">
        <v>2</v>
      </c>
      <c r="P27" s="53" t="s">
        <v>681</v>
      </c>
      <c r="Q27" s="51" t="s">
        <v>710</v>
      </c>
      <c r="R27" s="57" t="s">
        <v>711</v>
      </c>
    </row>
    <row r="28" spans="1:18" ht="28.8" x14ac:dyDescent="0.3">
      <c r="A28" s="10" t="s">
        <v>632</v>
      </c>
      <c r="B28">
        <v>1</v>
      </c>
      <c r="C28" s="50">
        <v>2</v>
      </c>
      <c r="P28" s="53" t="s">
        <v>681</v>
      </c>
      <c r="Q28" s="51" t="s">
        <v>715</v>
      </c>
      <c r="R28" s="57" t="s">
        <v>716</v>
      </c>
    </row>
    <row r="29" spans="1:18" ht="28.8" x14ac:dyDescent="0.3">
      <c r="A29" s="10" t="s">
        <v>633</v>
      </c>
      <c r="B29">
        <v>1</v>
      </c>
      <c r="C29" s="50">
        <v>2</v>
      </c>
      <c r="P29" s="53" t="s">
        <v>689</v>
      </c>
      <c r="Q29" s="51" t="s">
        <v>693</v>
      </c>
      <c r="R29" s="57" t="s">
        <v>702</v>
      </c>
    </row>
    <row r="30" spans="1:18" x14ac:dyDescent="0.3">
      <c r="A30" s="47" t="s">
        <v>609</v>
      </c>
      <c r="B30" s="45">
        <f>SUM(B25:B29)</f>
        <v>7</v>
      </c>
      <c r="C30" s="45">
        <f>SUM(C25:C29)</f>
        <v>10</v>
      </c>
    </row>
    <row r="31" spans="1:18" x14ac:dyDescent="0.3">
      <c r="A31" s="10"/>
    </row>
    <row r="32" spans="1:18" ht="28.8" x14ac:dyDescent="0.3">
      <c r="A32" s="47" t="s">
        <v>635</v>
      </c>
      <c r="H32" t="s">
        <v>717</v>
      </c>
    </row>
    <row r="33" spans="1:18" x14ac:dyDescent="0.3">
      <c r="A33" t="s">
        <v>636</v>
      </c>
      <c r="B33">
        <v>1</v>
      </c>
      <c r="C33" s="50">
        <v>2</v>
      </c>
      <c r="H33" s="58" t="s">
        <v>718</v>
      </c>
      <c r="P33" s="53" t="s">
        <v>689</v>
      </c>
      <c r="Q33" s="51" t="s">
        <v>686</v>
      </c>
      <c r="R33" s="57" t="s">
        <v>702</v>
      </c>
    </row>
    <row r="34" spans="1:18" ht="28.8" x14ac:dyDescent="0.3">
      <c r="A34" s="10" t="s">
        <v>637</v>
      </c>
      <c r="B34">
        <v>2</v>
      </c>
      <c r="C34" s="50">
        <v>1</v>
      </c>
      <c r="H34" s="58" t="s">
        <v>719</v>
      </c>
      <c r="P34" s="53" t="s">
        <v>681</v>
      </c>
      <c r="Q34" s="51" t="s">
        <v>697</v>
      </c>
      <c r="R34" s="57" t="s">
        <v>687</v>
      </c>
    </row>
    <row r="35" spans="1:18" ht="28.8" x14ac:dyDescent="0.3">
      <c r="A35" s="10" t="s">
        <v>638</v>
      </c>
      <c r="B35">
        <v>1</v>
      </c>
      <c r="C35" s="50">
        <v>1</v>
      </c>
      <c r="P35" s="53" t="s">
        <v>689</v>
      </c>
      <c r="Q35" s="51" t="s">
        <v>720</v>
      </c>
      <c r="R35" s="57" t="s">
        <v>721</v>
      </c>
    </row>
    <row r="36" spans="1:18" x14ac:dyDescent="0.3">
      <c r="A36" s="74" t="s">
        <v>722</v>
      </c>
      <c r="C36" s="75">
        <v>1</v>
      </c>
      <c r="P36" s="53" t="s">
        <v>689</v>
      </c>
      <c r="Q36" s="51" t="s">
        <v>720</v>
      </c>
      <c r="R36" s="57" t="s">
        <v>723</v>
      </c>
    </row>
    <row r="37" spans="1:18" x14ac:dyDescent="0.3">
      <c r="A37" s="74"/>
      <c r="C37" s="75"/>
      <c r="P37" s="53"/>
      <c r="Q37" s="51"/>
      <c r="R37" s="57"/>
    </row>
    <row r="38" spans="1:18" x14ac:dyDescent="0.3">
      <c r="A38" t="s">
        <v>724</v>
      </c>
      <c r="C38" s="50">
        <v>1</v>
      </c>
      <c r="P38" s="53" t="s">
        <v>685</v>
      </c>
      <c r="Q38" s="51" t="s">
        <v>697</v>
      </c>
      <c r="R38" s="57" t="s">
        <v>723</v>
      </c>
    </row>
    <row r="39" spans="1:18" x14ac:dyDescent="0.3">
      <c r="A39" s="47" t="s">
        <v>609</v>
      </c>
      <c r="B39" s="45">
        <f>SUM(B33:B35)</f>
        <v>4</v>
      </c>
      <c r="C39" s="45">
        <f>SUM(C33:C35)</f>
        <v>4</v>
      </c>
    </row>
    <row r="40" spans="1:18" x14ac:dyDescent="0.3">
      <c r="A40" s="10"/>
    </row>
    <row r="41" spans="1:18" ht="28.8" x14ac:dyDescent="0.3">
      <c r="A41" s="47" t="s">
        <v>642</v>
      </c>
    </row>
    <row r="42" spans="1:18" ht="28.8" x14ac:dyDescent="0.3">
      <c r="A42" s="10" t="s">
        <v>643</v>
      </c>
      <c r="B42">
        <v>2</v>
      </c>
      <c r="C42" s="50">
        <v>2</v>
      </c>
      <c r="P42" s="53" t="s">
        <v>681</v>
      </c>
      <c r="Q42" s="51" t="s">
        <v>725</v>
      </c>
      <c r="R42" s="57" t="s">
        <v>683</v>
      </c>
    </row>
    <row r="43" spans="1:18" ht="28.8" x14ac:dyDescent="0.3">
      <c r="A43" s="10" t="s">
        <v>644</v>
      </c>
      <c r="B43">
        <v>1</v>
      </c>
      <c r="C43" s="50">
        <v>1</v>
      </c>
      <c r="P43" s="53" t="s">
        <v>700</v>
      </c>
      <c r="Q43" s="51" t="s">
        <v>726</v>
      </c>
      <c r="R43" s="57" t="s">
        <v>727</v>
      </c>
    </row>
    <row r="44" spans="1:18" x14ac:dyDescent="0.3">
      <c r="A44" s="10" t="s">
        <v>645</v>
      </c>
      <c r="B44">
        <v>2</v>
      </c>
      <c r="C44" s="50">
        <v>1</v>
      </c>
      <c r="P44" s="53" t="s">
        <v>689</v>
      </c>
      <c r="Q44" s="51" t="s">
        <v>697</v>
      </c>
      <c r="R44" s="57" t="s">
        <v>723</v>
      </c>
    </row>
    <row r="45" spans="1:18" ht="43.2" x14ac:dyDescent="0.3">
      <c r="A45" s="10" t="s">
        <v>646</v>
      </c>
      <c r="B45">
        <v>1</v>
      </c>
      <c r="C45" s="50">
        <v>1</v>
      </c>
      <c r="P45" s="53" t="s">
        <v>689</v>
      </c>
      <c r="Q45" s="51" t="s">
        <v>720</v>
      </c>
      <c r="R45" s="57" t="s">
        <v>728</v>
      </c>
    </row>
    <row r="46" spans="1:18" ht="28.8" x14ac:dyDescent="0.3">
      <c r="A46" s="10" t="s">
        <v>647</v>
      </c>
      <c r="B46">
        <v>2</v>
      </c>
      <c r="C46" s="50">
        <v>2</v>
      </c>
      <c r="D46" t="s">
        <v>729</v>
      </c>
      <c r="P46" s="53" t="s">
        <v>689</v>
      </c>
      <c r="Q46" s="51" t="s">
        <v>703</v>
      </c>
      <c r="R46" s="57" t="s">
        <v>709</v>
      </c>
    </row>
    <row r="47" spans="1:18" x14ac:dyDescent="0.3">
      <c r="A47" s="47" t="s">
        <v>609</v>
      </c>
      <c r="B47" s="45">
        <f>SUM(B42:B46)</f>
        <v>8</v>
      </c>
      <c r="C47" s="45">
        <f>SUM(C42:C46)</f>
        <v>7</v>
      </c>
    </row>
    <row r="48" spans="1:18" x14ac:dyDescent="0.3">
      <c r="A48" s="10"/>
    </row>
    <row r="49" spans="1:18" ht="28.8" x14ac:dyDescent="0.3">
      <c r="A49" s="47" t="s">
        <v>649</v>
      </c>
    </row>
    <row r="50" spans="1:18" x14ac:dyDescent="0.3">
      <c r="A50" s="10" t="s">
        <v>650</v>
      </c>
      <c r="B50">
        <v>1</v>
      </c>
      <c r="C50" s="50">
        <v>1</v>
      </c>
      <c r="P50" s="53" t="s">
        <v>681</v>
      </c>
      <c r="Q50" s="51" t="s">
        <v>697</v>
      </c>
      <c r="R50" s="57" t="s">
        <v>687</v>
      </c>
    </row>
    <row r="51" spans="1:18" ht="28.8" x14ac:dyDescent="0.3">
      <c r="A51" s="10" t="s">
        <v>651</v>
      </c>
      <c r="B51">
        <v>1</v>
      </c>
      <c r="C51" s="50">
        <v>2</v>
      </c>
      <c r="P51" s="53" t="s">
        <v>681</v>
      </c>
      <c r="Q51" s="51" t="s">
        <v>693</v>
      </c>
      <c r="R51" s="57" t="s">
        <v>694</v>
      </c>
    </row>
    <row r="52" spans="1:18" ht="28.8" x14ac:dyDescent="0.3">
      <c r="A52" s="10" t="s">
        <v>652</v>
      </c>
      <c r="B52">
        <v>2</v>
      </c>
      <c r="C52" s="50">
        <v>2</v>
      </c>
      <c r="P52" s="53" t="s">
        <v>689</v>
      </c>
      <c r="Q52" s="51" t="s">
        <v>701</v>
      </c>
      <c r="R52" s="57" t="s">
        <v>694</v>
      </c>
    </row>
    <row r="53" spans="1:18" ht="28.8" x14ac:dyDescent="0.3">
      <c r="A53" s="10" t="s">
        <v>653</v>
      </c>
      <c r="B53">
        <v>2</v>
      </c>
      <c r="C53" s="50">
        <v>2</v>
      </c>
      <c r="P53" s="53" t="s">
        <v>681</v>
      </c>
      <c r="Q53" s="51" t="s">
        <v>710</v>
      </c>
      <c r="R53" s="57" t="s">
        <v>716</v>
      </c>
    </row>
    <row r="54" spans="1:18" ht="28.8" x14ac:dyDescent="0.3">
      <c r="A54" s="10" t="s">
        <v>654</v>
      </c>
      <c r="B54">
        <v>1</v>
      </c>
      <c r="C54" s="50">
        <v>1</v>
      </c>
      <c r="P54" s="53" t="s">
        <v>681</v>
      </c>
      <c r="Q54" s="51" t="s">
        <v>690</v>
      </c>
      <c r="R54" s="57" t="s">
        <v>721</v>
      </c>
    </row>
    <row r="55" spans="1:18" x14ac:dyDescent="0.3">
      <c r="A55" s="10" t="s">
        <v>730</v>
      </c>
      <c r="B55">
        <v>1</v>
      </c>
      <c r="C55" s="59" t="s">
        <v>473</v>
      </c>
    </row>
    <row r="56" spans="1:18" ht="28.8" x14ac:dyDescent="0.3">
      <c r="A56" s="10" t="s">
        <v>655</v>
      </c>
      <c r="B56">
        <v>1</v>
      </c>
      <c r="C56" s="50">
        <v>1</v>
      </c>
      <c r="P56" s="53" t="s">
        <v>685</v>
      </c>
      <c r="Q56" s="51" t="s">
        <v>726</v>
      </c>
      <c r="R56" s="57" t="s">
        <v>731</v>
      </c>
    </row>
    <row r="57" spans="1:18" x14ac:dyDescent="0.3">
      <c r="A57" s="47" t="s">
        <v>609</v>
      </c>
      <c r="B57" s="45">
        <f>SUM(B50:B56)</f>
        <v>9</v>
      </c>
      <c r="C57" s="45">
        <f>SUM(C50:C56)</f>
        <v>9</v>
      </c>
    </row>
    <row r="58" spans="1:18" x14ac:dyDescent="0.3">
      <c r="A58" s="10"/>
    </row>
    <row r="59" spans="1:18" ht="43.2" x14ac:dyDescent="0.3">
      <c r="A59" s="47" t="s">
        <v>657</v>
      </c>
      <c r="B59">
        <v>3</v>
      </c>
    </row>
    <row r="60" spans="1:18" x14ac:dyDescent="0.3">
      <c r="A60" s="10" t="s">
        <v>732</v>
      </c>
      <c r="C60" s="50">
        <v>2</v>
      </c>
      <c r="P60" s="53" t="s">
        <v>733</v>
      </c>
      <c r="Q60" s="51" t="s">
        <v>734</v>
      </c>
      <c r="R60" s="57" t="s">
        <v>735</v>
      </c>
    </row>
    <row r="61" spans="1:18" ht="28.8" x14ac:dyDescent="0.3">
      <c r="A61" s="10" t="s">
        <v>736</v>
      </c>
      <c r="C61" s="50">
        <v>2</v>
      </c>
      <c r="P61" s="53" t="s">
        <v>737</v>
      </c>
      <c r="Q61" s="51" t="s">
        <v>738</v>
      </c>
      <c r="R61" s="57" t="s">
        <v>739</v>
      </c>
    </row>
    <row r="62" spans="1:18" x14ac:dyDescent="0.3">
      <c r="A62" s="10" t="s">
        <v>740</v>
      </c>
      <c r="C62" s="50">
        <v>2</v>
      </c>
      <c r="P62" s="53" t="s">
        <v>737</v>
      </c>
      <c r="Q62" s="51" t="s">
        <v>741</v>
      </c>
      <c r="R62" s="57" t="s">
        <v>742</v>
      </c>
    </row>
    <row r="63" spans="1:18" x14ac:dyDescent="0.3">
      <c r="A63" s="10" t="s">
        <v>743</v>
      </c>
      <c r="C63" s="50">
        <v>2</v>
      </c>
      <c r="P63" s="53" t="s">
        <v>733</v>
      </c>
      <c r="Q63" s="51" t="s">
        <v>744</v>
      </c>
      <c r="R63" s="57" t="s">
        <v>742</v>
      </c>
    </row>
    <row r="64" spans="1:18" x14ac:dyDescent="0.3">
      <c r="A64" s="10" t="s">
        <v>745</v>
      </c>
      <c r="C64" s="50">
        <v>1</v>
      </c>
      <c r="P64" s="53" t="s">
        <v>746</v>
      </c>
      <c r="Q64" s="51" t="s">
        <v>744</v>
      </c>
      <c r="R64" s="57" t="s">
        <v>747</v>
      </c>
    </row>
    <row r="65" spans="1:18" x14ac:dyDescent="0.3">
      <c r="A65" s="47" t="s">
        <v>609</v>
      </c>
      <c r="C65" s="60">
        <f>SUM(C60:C64)</f>
        <v>9</v>
      </c>
    </row>
    <row r="66" spans="1:18" ht="28.8" x14ac:dyDescent="0.3">
      <c r="A66" s="47" t="s">
        <v>658</v>
      </c>
      <c r="B66">
        <v>3</v>
      </c>
      <c r="D66" t="s">
        <v>748</v>
      </c>
    </row>
    <row r="67" spans="1:18" x14ac:dyDescent="0.3">
      <c r="A67" t="s">
        <v>749</v>
      </c>
      <c r="C67" s="50">
        <v>2</v>
      </c>
      <c r="D67" t="s">
        <v>750</v>
      </c>
      <c r="P67" s="53" t="s">
        <v>751</v>
      </c>
      <c r="Q67" s="51" t="s">
        <v>752</v>
      </c>
      <c r="R67" s="57" t="s">
        <v>753</v>
      </c>
    </row>
    <row r="68" spans="1:18" x14ac:dyDescent="0.3">
      <c r="A68" t="s">
        <v>754</v>
      </c>
      <c r="C68" s="50">
        <v>1</v>
      </c>
      <c r="P68" s="53" t="s">
        <v>755</v>
      </c>
      <c r="Q68" s="51" t="s">
        <v>756</v>
      </c>
      <c r="R68" s="57" t="s">
        <v>742</v>
      </c>
    </row>
    <row r="69" spans="1:18" x14ac:dyDescent="0.3">
      <c r="A69" t="s">
        <v>757</v>
      </c>
      <c r="C69" s="50">
        <v>1</v>
      </c>
      <c r="P69" s="53" t="s">
        <v>755</v>
      </c>
      <c r="Q69" s="51" t="s">
        <v>758</v>
      </c>
      <c r="R69" s="57" t="s">
        <v>747</v>
      </c>
    </row>
    <row r="70" spans="1:18" x14ac:dyDescent="0.3">
      <c r="A70" t="s">
        <v>759</v>
      </c>
      <c r="C70" s="50">
        <v>1</v>
      </c>
      <c r="P70" s="53" t="s">
        <v>751</v>
      </c>
      <c r="Q70" s="51" t="s">
        <v>758</v>
      </c>
      <c r="R70" s="57" t="s">
        <v>760</v>
      </c>
    </row>
    <row r="71" spans="1:18" x14ac:dyDescent="0.3">
      <c r="A71" t="s">
        <v>761</v>
      </c>
      <c r="C71" s="50">
        <v>2</v>
      </c>
      <c r="P71" s="53" t="s">
        <v>751</v>
      </c>
      <c r="Q71" s="51" t="s">
        <v>756</v>
      </c>
      <c r="R71" s="57" t="s">
        <v>762</v>
      </c>
    </row>
    <row r="72" spans="1:18" x14ac:dyDescent="0.3">
      <c r="C72" s="45">
        <f>SUM(C67:C71)</f>
        <v>7</v>
      </c>
    </row>
    <row r="74" spans="1:18" x14ac:dyDescent="0.3">
      <c r="A74" s="76" t="s">
        <v>763</v>
      </c>
    </row>
    <row r="75" spans="1:18" x14ac:dyDescent="0.3">
      <c r="A75" s="76"/>
    </row>
    <row r="76" spans="1:18" x14ac:dyDescent="0.3">
      <c r="A76" s="76"/>
    </row>
    <row r="77" spans="1:18" ht="43.2" x14ac:dyDescent="0.3">
      <c r="A77" s="10" t="s">
        <v>611</v>
      </c>
      <c r="B77" t="s">
        <v>764</v>
      </c>
    </row>
    <row r="78" spans="1:18" ht="28.8" x14ac:dyDescent="0.3">
      <c r="A78" s="10" t="s">
        <v>618</v>
      </c>
      <c r="B78" t="s">
        <v>765</v>
      </c>
    </row>
    <row r="79" spans="1:18" x14ac:dyDescent="0.3">
      <c r="A79" t="s">
        <v>628</v>
      </c>
      <c r="B79" t="s">
        <v>765</v>
      </c>
    </row>
    <row r="80" spans="1:18" ht="28.8" x14ac:dyDescent="0.3">
      <c r="A80" s="10" t="s">
        <v>635</v>
      </c>
      <c r="B80" t="s">
        <v>766</v>
      </c>
    </row>
    <row r="81" spans="1:10" ht="28.8" x14ac:dyDescent="0.3">
      <c r="A81" s="10" t="s">
        <v>642</v>
      </c>
      <c r="B81" t="s">
        <v>767</v>
      </c>
    </row>
    <row r="82" spans="1:10" ht="28.8" x14ac:dyDescent="0.3">
      <c r="A82" s="10" t="s">
        <v>649</v>
      </c>
      <c r="B82" t="s">
        <v>768</v>
      </c>
    </row>
    <row r="83" spans="1:10" ht="43.2" x14ac:dyDescent="0.3">
      <c r="A83" s="10" t="s">
        <v>657</v>
      </c>
      <c r="B83" t="s">
        <v>769</v>
      </c>
    </row>
    <row r="84" spans="1:10" ht="28.8" x14ac:dyDescent="0.3">
      <c r="A84" s="10" t="s">
        <v>658</v>
      </c>
      <c r="B84" t="s">
        <v>767</v>
      </c>
    </row>
    <row r="86" spans="1:10" ht="43.2" x14ac:dyDescent="0.3">
      <c r="A86" s="47" t="s">
        <v>770</v>
      </c>
    </row>
    <row r="87" spans="1:10" x14ac:dyDescent="0.3">
      <c r="A87" s="47" t="s">
        <v>771</v>
      </c>
      <c r="B87" s="45">
        <v>1</v>
      </c>
      <c r="C87" s="45">
        <v>2</v>
      </c>
      <c r="D87" s="45">
        <v>3</v>
      </c>
      <c r="E87" s="45">
        <v>4</v>
      </c>
      <c r="F87" s="45">
        <v>5</v>
      </c>
      <c r="G87" s="45">
        <v>6</v>
      </c>
      <c r="H87" s="45">
        <v>7</v>
      </c>
      <c r="I87" s="45">
        <v>8</v>
      </c>
    </row>
    <row r="88" spans="1:10" ht="43.2" x14ac:dyDescent="0.3">
      <c r="A88" s="10" t="s">
        <v>611</v>
      </c>
      <c r="B88" s="45">
        <v>12</v>
      </c>
      <c r="C88">
        <v>3</v>
      </c>
      <c r="D88">
        <v>2</v>
      </c>
      <c r="E88">
        <v>1</v>
      </c>
      <c r="F88">
        <v>0</v>
      </c>
      <c r="G88">
        <v>2</v>
      </c>
      <c r="H88">
        <v>1</v>
      </c>
      <c r="I88">
        <v>0</v>
      </c>
    </row>
    <row r="89" spans="1:10" ht="28.8" x14ac:dyDescent="0.3">
      <c r="A89" s="10" t="s">
        <v>618</v>
      </c>
      <c r="B89" s="45">
        <v>14</v>
      </c>
      <c r="C89">
        <v>3</v>
      </c>
      <c r="D89">
        <v>2</v>
      </c>
      <c r="E89">
        <v>0</v>
      </c>
      <c r="F89">
        <v>2</v>
      </c>
      <c r="G89">
        <v>0</v>
      </c>
      <c r="H89">
        <v>0</v>
      </c>
      <c r="I89">
        <v>0</v>
      </c>
      <c r="J89" t="s">
        <v>772</v>
      </c>
    </row>
    <row r="90" spans="1:10" x14ac:dyDescent="0.3">
      <c r="A90" t="s">
        <v>628</v>
      </c>
      <c r="B90" s="45">
        <v>10</v>
      </c>
      <c r="C90">
        <v>5</v>
      </c>
      <c r="D90">
        <v>4</v>
      </c>
      <c r="E90">
        <v>1</v>
      </c>
      <c r="F90">
        <v>1</v>
      </c>
      <c r="G90">
        <v>0</v>
      </c>
      <c r="H90">
        <v>0</v>
      </c>
      <c r="I90">
        <v>0</v>
      </c>
    </row>
    <row r="91" spans="1:10" ht="28.8" x14ac:dyDescent="0.3">
      <c r="A91" s="10" t="s">
        <v>635</v>
      </c>
      <c r="B91">
        <v>2</v>
      </c>
      <c r="C91" s="45">
        <v>6</v>
      </c>
      <c r="D91">
        <v>4</v>
      </c>
      <c r="E91">
        <v>1</v>
      </c>
      <c r="F91">
        <v>0</v>
      </c>
      <c r="G91" s="45">
        <v>6</v>
      </c>
      <c r="H91">
        <v>2</v>
      </c>
      <c r="I91">
        <v>0</v>
      </c>
    </row>
    <row r="92" spans="1:10" ht="28.8" x14ac:dyDescent="0.3">
      <c r="A92" s="10" t="s">
        <v>642</v>
      </c>
      <c r="B92" s="45">
        <v>8</v>
      </c>
      <c r="C92">
        <v>4</v>
      </c>
      <c r="D92">
        <v>2</v>
      </c>
      <c r="E92">
        <v>2</v>
      </c>
      <c r="F92">
        <v>3</v>
      </c>
      <c r="G92">
        <v>1</v>
      </c>
      <c r="H92">
        <v>0</v>
      </c>
      <c r="I92">
        <v>1</v>
      </c>
    </row>
    <row r="93" spans="1:10" ht="28.8" x14ac:dyDescent="0.3">
      <c r="A93" s="10" t="s">
        <v>649</v>
      </c>
      <c r="B93" s="45">
        <v>6</v>
      </c>
      <c r="C93" s="45">
        <v>6</v>
      </c>
      <c r="D93">
        <v>2</v>
      </c>
      <c r="E93">
        <v>3</v>
      </c>
      <c r="F93">
        <v>3</v>
      </c>
      <c r="G93">
        <v>1</v>
      </c>
      <c r="H93">
        <v>0</v>
      </c>
      <c r="I93">
        <v>0</v>
      </c>
    </row>
    <row r="94" spans="1:10" ht="43.2" x14ac:dyDescent="0.3">
      <c r="A94" s="10" t="s">
        <v>657</v>
      </c>
      <c r="B94">
        <v>3</v>
      </c>
      <c r="C94">
        <v>3</v>
      </c>
      <c r="D94">
        <v>3</v>
      </c>
      <c r="E94">
        <v>2</v>
      </c>
      <c r="F94">
        <v>1</v>
      </c>
      <c r="G94">
        <v>2</v>
      </c>
      <c r="H94">
        <v>1</v>
      </c>
      <c r="I94" s="45">
        <v>6</v>
      </c>
      <c r="J94" t="s">
        <v>773</v>
      </c>
    </row>
    <row r="95" spans="1:10" ht="28.8" x14ac:dyDescent="0.3">
      <c r="A95" s="10" t="s">
        <v>658</v>
      </c>
      <c r="B95">
        <v>5</v>
      </c>
      <c r="C95" s="45">
        <v>7</v>
      </c>
      <c r="D95">
        <v>1</v>
      </c>
      <c r="E95">
        <v>0</v>
      </c>
      <c r="F95">
        <v>0</v>
      </c>
      <c r="G95">
        <v>1</v>
      </c>
      <c r="H95">
        <v>5</v>
      </c>
      <c r="I95">
        <v>2</v>
      </c>
    </row>
    <row r="97" spans="1:10" ht="28.8" x14ac:dyDescent="0.3">
      <c r="A97" s="61" t="s">
        <v>774</v>
      </c>
    </row>
    <row r="98" spans="1:10" s="45" customFormat="1" x14ac:dyDescent="0.3">
      <c r="A98" s="47" t="s">
        <v>771</v>
      </c>
      <c r="B98" s="45">
        <v>1</v>
      </c>
      <c r="C98" s="45">
        <v>2</v>
      </c>
      <c r="D98" s="45">
        <v>3</v>
      </c>
      <c r="E98" s="45">
        <v>4</v>
      </c>
      <c r="F98" s="45">
        <v>5</v>
      </c>
      <c r="G98" s="45">
        <v>6</v>
      </c>
      <c r="H98" s="45">
        <v>7</v>
      </c>
      <c r="I98" s="45">
        <v>8</v>
      </c>
    </row>
    <row r="99" spans="1:10" ht="43.2" x14ac:dyDescent="0.3">
      <c r="A99" s="10" t="s">
        <v>611</v>
      </c>
      <c r="B99">
        <v>6</v>
      </c>
      <c r="C99" s="45">
        <v>7</v>
      </c>
      <c r="D99">
        <v>3</v>
      </c>
      <c r="E99">
        <v>0</v>
      </c>
      <c r="F99">
        <v>0</v>
      </c>
      <c r="G99">
        <v>1</v>
      </c>
      <c r="H99">
        <v>2</v>
      </c>
      <c r="I99">
        <v>1</v>
      </c>
    </row>
    <row r="100" spans="1:10" ht="28.8" x14ac:dyDescent="0.3">
      <c r="A100" s="10" t="s">
        <v>618</v>
      </c>
      <c r="B100" s="45">
        <v>9</v>
      </c>
      <c r="C100">
        <v>3</v>
      </c>
      <c r="D100">
        <v>3</v>
      </c>
      <c r="E100">
        <v>2</v>
      </c>
      <c r="F100">
        <v>1</v>
      </c>
      <c r="G100">
        <v>1</v>
      </c>
      <c r="H100">
        <v>1</v>
      </c>
      <c r="I100">
        <v>0</v>
      </c>
      <c r="J100" t="s">
        <v>772</v>
      </c>
    </row>
    <row r="101" spans="1:10" x14ac:dyDescent="0.3">
      <c r="A101" t="s">
        <v>628</v>
      </c>
      <c r="B101" s="45">
        <v>7</v>
      </c>
      <c r="C101">
        <v>4</v>
      </c>
      <c r="D101">
        <v>2</v>
      </c>
      <c r="E101">
        <v>2</v>
      </c>
      <c r="F101">
        <v>2</v>
      </c>
      <c r="G101">
        <v>3</v>
      </c>
      <c r="H101">
        <v>0</v>
      </c>
      <c r="I101">
        <v>0</v>
      </c>
    </row>
    <row r="102" spans="1:10" ht="28.8" x14ac:dyDescent="0.3">
      <c r="A102" s="10" t="s">
        <v>635</v>
      </c>
      <c r="B102">
        <v>3</v>
      </c>
      <c r="C102">
        <v>4</v>
      </c>
      <c r="D102" s="45">
        <v>5</v>
      </c>
      <c r="E102">
        <v>3</v>
      </c>
      <c r="F102">
        <v>1</v>
      </c>
      <c r="G102">
        <v>1</v>
      </c>
      <c r="H102">
        <v>1</v>
      </c>
      <c r="I102">
        <v>1</v>
      </c>
    </row>
    <row r="103" spans="1:10" ht="28.8" x14ac:dyDescent="0.3">
      <c r="A103" s="10" t="s">
        <v>642</v>
      </c>
      <c r="B103">
        <v>6</v>
      </c>
      <c r="C103" s="45">
        <v>7</v>
      </c>
      <c r="D103">
        <v>0</v>
      </c>
      <c r="E103">
        <v>1</v>
      </c>
      <c r="F103">
        <v>1</v>
      </c>
      <c r="G103">
        <v>1</v>
      </c>
      <c r="H103">
        <v>1</v>
      </c>
      <c r="I103">
        <v>2</v>
      </c>
    </row>
    <row r="104" spans="1:10" ht="28.8" x14ac:dyDescent="0.3">
      <c r="A104" s="10" t="s">
        <v>649</v>
      </c>
      <c r="B104">
        <v>1</v>
      </c>
      <c r="C104" s="45">
        <v>9</v>
      </c>
      <c r="D104">
        <v>5</v>
      </c>
      <c r="E104">
        <v>0</v>
      </c>
      <c r="F104">
        <v>0</v>
      </c>
      <c r="G104">
        <v>2</v>
      </c>
      <c r="H104">
        <v>2</v>
      </c>
      <c r="I104">
        <v>0</v>
      </c>
    </row>
    <row r="105" spans="1:10" ht="43.2" x14ac:dyDescent="0.3">
      <c r="A105" s="10" t="s">
        <v>657</v>
      </c>
      <c r="B105">
        <v>1</v>
      </c>
      <c r="C105">
        <v>2</v>
      </c>
      <c r="D105" s="45">
        <v>4</v>
      </c>
      <c r="E105">
        <v>3</v>
      </c>
      <c r="F105">
        <v>3</v>
      </c>
      <c r="G105">
        <v>0</v>
      </c>
      <c r="H105">
        <v>2</v>
      </c>
      <c r="I105" s="45">
        <v>4</v>
      </c>
      <c r="J105" t="s">
        <v>773</v>
      </c>
    </row>
    <row r="106" spans="1:10" ht="28.8" x14ac:dyDescent="0.3">
      <c r="A106" s="10" t="s">
        <v>658</v>
      </c>
      <c r="B106">
        <v>3</v>
      </c>
      <c r="C106" s="45">
        <v>4</v>
      </c>
      <c r="D106" s="45">
        <v>4</v>
      </c>
      <c r="E106">
        <v>2</v>
      </c>
      <c r="F106">
        <v>1</v>
      </c>
      <c r="G106">
        <v>0</v>
      </c>
      <c r="H106">
        <v>2</v>
      </c>
      <c r="I106">
        <v>3</v>
      </c>
    </row>
    <row r="108" spans="1:10" ht="28.8" x14ac:dyDescent="0.3">
      <c r="A108" s="61" t="s">
        <v>775</v>
      </c>
      <c r="B108" s="45" t="s">
        <v>776</v>
      </c>
    </row>
    <row r="109" spans="1:10" x14ac:dyDescent="0.3">
      <c r="B109" t="s">
        <v>777</v>
      </c>
    </row>
    <row r="110" spans="1:10" x14ac:dyDescent="0.3">
      <c r="B110" t="s">
        <v>778</v>
      </c>
    </row>
    <row r="111" spans="1:10" x14ac:dyDescent="0.3">
      <c r="B111" t="s">
        <v>779</v>
      </c>
    </row>
    <row r="112" spans="1:10" x14ac:dyDescent="0.3">
      <c r="B112" t="s">
        <v>780</v>
      </c>
    </row>
    <row r="113" spans="1:2" x14ac:dyDescent="0.3">
      <c r="B113" t="s">
        <v>781</v>
      </c>
    </row>
    <row r="114" spans="1:2" x14ac:dyDescent="0.3">
      <c r="B114" t="s">
        <v>782</v>
      </c>
    </row>
    <row r="117" spans="1:2" x14ac:dyDescent="0.3">
      <c r="A117" s="45" t="s">
        <v>783</v>
      </c>
      <c r="B117" s="62" t="s">
        <v>784</v>
      </c>
    </row>
  </sheetData>
  <mergeCells count="5">
    <mergeCell ref="B1:B2"/>
    <mergeCell ref="C1:C2"/>
    <mergeCell ref="A36:A37"/>
    <mergeCell ref="C36:C37"/>
    <mergeCell ref="A74:A76"/>
  </mergeCells>
  <hyperlinks>
    <hyperlink ref="H33" r:id="rId1" xr:uid="{7B49129A-62D4-4CA6-912B-EF6AA6A9C506}"/>
    <hyperlink ref="H34" r:id="rId2" xr:uid="{02334135-5F72-41E0-9BE4-6AE7A4E776CB}"/>
    <hyperlink ref="B117" r:id="rId3" xr:uid="{4737421B-ED7C-4054-9FCE-8154BFADE85A}"/>
  </hyperlinks>
  <pageMargins left="0.70000000000000007" right="0.70000000000000007" top="0.75" bottom="0.75" header="0.30000000000000004" footer="0.30000000000000004"/>
  <pageSetup paperSize="0" fitToWidth="0" fitToHeight="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B536C-EE4A-4E0B-BF4D-A423F7B696CB}">
  <dimension ref="A1:U65"/>
  <sheetViews>
    <sheetView topLeftCell="A45" zoomScale="55" zoomScaleNormal="55" workbookViewId="0">
      <selection activeCell="V12" sqref="V12"/>
    </sheetView>
  </sheetViews>
  <sheetFormatPr defaultColWidth="11.109375" defaultRowHeight="14.4" x14ac:dyDescent="0.3"/>
  <cols>
    <col min="1" max="1" width="11.109375" customWidth="1"/>
  </cols>
  <sheetData>
    <row r="1" spans="1:21" ht="38.4" thickBot="1" x14ac:dyDescent="0.35">
      <c r="A1" s="23" t="s">
        <v>6</v>
      </c>
      <c r="B1" s="8" t="s">
        <v>51</v>
      </c>
      <c r="C1" s="8" t="s">
        <v>75</v>
      </c>
      <c r="D1" s="8" t="s">
        <v>87</v>
      </c>
      <c r="E1" s="8" t="s">
        <v>98</v>
      </c>
      <c r="F1" s="8" t="s">
        <v>109</v>
      </c>
      <c r="G1" s="8" t="s">
        <v>147</v>
      </c>
      <c r="H1" s="8" t="s">
        <v>392</v>
      </c>
      <c r="I1" s="8" t="s">
        <v>610</v>
      </c>
      <c r="J1" s="8" t="s">
        <v>159</v>
      </c>
      <c r="K1" s="8" t="s">
        <v>177</v>
      </c>
      <c r="L1" s="8" t="s">
        <v>190</v>
      </c>
      <c r="M1" s="8" t="s">
        <v>200</v>
      </c>
      <c r="N1" s="8" t="s">
        <v>208</v>
      </c>
      <c r="O1" s="8" t="s">
        <v>218</v>
      </c>
      <c r="P1" s="8" t="s">
        <v>249</v>
      </c>
      <c r="Q1" s="8" t="s">
        <v>293</v>
      </c>
      <c r="R1" s="8" t="s">
        <v>304</v>
      </c>
      <c r="S1" s="8" t="s">
        <v>315</v>
      </c>
      <c r="U1" s="49" t="s">
        <v>665</v>
      </c>
    </row>
    <row r="2" spans="1:21" ht="144" x14ac:dyDescent="0.3">
      <c r="A2" s="47" t="s">
        <v>611</v>
      </c>
    </row>
    <row r="3" spans="1:21" x14ac:dyDescent="0.3">
      <c r="A3" t="s">
        <v>612</v>
      </c>
      <c r="B3">
        <v>2</v>
      </c>
      <c r="C3">
        <v>2</v>
      </c>
      <c r="D3">
        <v>2</v>
      </c>
      <c r="E3">
        <v>2</v>
      </c>
      <c r="F3">
        <v>2</v>
      </c>
      <c r="G3">
        <v>2</v>
      </c>
      <c r="J3">
        <v>2</v>
      </c>
      <c r="K3">
        <v>2</v>
      </c>
      <c r="L3">
        <v>2</v>
      </c>
      <c r="M3">
        <v>2</v>
      </c>
      <c r="N3">
        <v>2</v>
      </c>
      <c r="O3">
        <v>2</v>
      </c>
      <c r="P3">
        <v>2</v>
      </c>
      <c r="Q3">
        <v>2</v>
      </c>
      <c r="R3">
        <v>2</v>
      </c>
      <c r="S3">
        <v>2</v>
      </c>
      <c r="U3">
        <v>2</v>
      </c>
    </row>
    <row r="4" spans="1:21" x14ac:dyDescent="0.3">
      <c r="A4" t="s">
        <v>613</v>
      </c>
      <c r="E4">
        <v>1</v>
      </c>
      <c r="F4">
        <v>1</v>
      </c>
      <c r="G4">
        <v>1</v>
      </c>
      <c r="J4">
        <v>1</v>
      </c>
      <c r="L4">
        <v>1</v>
      </c>
      <c r="M4">
        <v>1</v>
      </c>
      <c r="N4">
        <v>1</v>
      </c>
      <c r="P4">
        <v>1</v>
      </c>
      <c r="R4">
        <v>1</v>
      </c>
      <c r="S4">
        <v>1</v>
      </c>
      <c r="U4">
        <v>1</v>
      </c>
    </row>
    <row r="5" spans="1:21" x14ac:dyDescent="0.3">
      <c r="A5" s="45" t="s">
        <v>609</v>
      </c>
      <c r="B5" s="45">
        <f t="shared" ref="B5:R5" si="0">SUM(B3:B4)</f>
        <v>2</v>
      </c>
      <c r="C5" s="45">
        <f t="shared" si="0"/>
        <v>2</v>
      </c>
      <c r="D5" s="45">
        <f t="shared" si="0"/>
        <v>2</v>
      </c>
      <c r="E5" s="45">
        <f t="shared" si="0"/>
        <v>3</v>
      </c>
      <c r="F5" s="45">
        <f t="shared" si="0"/>
        <v>3</v>
      </c>
      <c r="G5" s="45">
        <f t="shared" si="0"/>
        <v>3</v>
      </c>
      <c r="H5" s="45">
        <f t="shared" si="0"/>
        <v>0</v>
      </c>
      <c r="I5" s="45">
        <f t="shared" si="0"/>
        <v>0</v>
      </c>
      <c r="J5" s="45">
        <f t="shared" si="0"/>
        <v>3</v>
      </c>
      <c r="K5" s="45">
        <f t="shared" si="0"/>
        <v>2</v>
      </c>
      <c r="L5" s="45">
        <f t="shared" si="0"/>
        <v>3</v>
      </c>
      <c r="M5" s="45">
        <f t="shared" si="0"/>
        <v>3</v>
      </c>
      <c r="N5" s="45">
        <f t="shared" si="0"/>
        <v>3</v>
      </c>
      <c r="O5" s="45">
        <f t="shared" si="0"/>
        <v>2</v>
      </c>
      <c r="P5" s="45">
        <f t="shared" si="0"/>
        <v>3</v>
      </c>
      <c r="Q5" s="45">
        <f t="shared" si="0"/>
        <v>2</v>
      </c>
      <c r="R5" s="45">
        <f t="shared" si="0"/>
        <v>3</v>
      </c>
      <c r="S5" s="45">
        <f>SUM(S3:S4)</f>
        <v>3</v>
      </c>
      <c r="T5" s="45"/>
      <c r="U5" s="45">
        <f>SUM(U3:U4)</f>
        <v>3</v>
      </c>
    </row>
    <row r="6" spans="1:21" x14ac:dyDescent="0.3">
      <c r="A6" s="45"/>
      <c r="B6" s="45"/>
      <c r="C6" s="45"/>
      <c r="D6" s="45"/>
      <c r="E6" s="45"/>
      <c r="F6" s="45"/>
      <c r="G6" s="45"/>
      <c r="H6" s="45"/>
      <c r="I6" s="45"/>
      <c r="J6" s="45"/>
      <c r="K6" s="45"/>
      <c r="L6" s="45"/>
      <c r="M6" s="45"/>
      <c r="N6" s="45"/>
      <c r="O6" s="45"/>
      <c r="P6" s="45"/>
      <c r="Q6" s="45"/>
      <c r="R6" s="45"/>
      <c r="S6" s="45"/>
      <c r="T6" s="45"/>
      <c r="U6" s="45"/>
    </row>
    <row r="8" spans="1:21" ht="57.6" x14ac:dyDescent="0.3">
      <c r="A8" s="47" t="s">
        <v>618</v>
      </c>
    </row>
    <row r="9" spans="1:21" ht="57.6" x14ac:dyDescent="0.3">
      <c r="A9" s="10" t="s">
        <v>620</v>
      </c>
      <c r="C9">
        <v>2</v>
      </c>
      <c r="D9">
        <v>2</v>
      </c>
      <c r="E9">
        <v>2</v>
      </c>
      <c r="F9">
        <v>2</v>
      </c>
      <c r="G9">
        <v>2</v>
      </c>
      <c r="J9">
        <v>2</v>
      </c>
      <c r="M9">
        <v>2</v>
      </c>
      <c r="O9">
        <v>2</v>
      </c>
      <c r="P9">
        <v>2</v>
      </c>
      <c r="Q9">
        <v>2</v>
      </c>
      <c r="R9">
        <v>2</v>
      </c>
      <c r="S9">
        <v>2</v>
      </c>
      <c r="U9" s="50">
        <v>2</v>
      </c>
    </row>
    <row r="10" spans="1:21" ht="57.6" x14ac:dyDescent="0.3">
      <c r="A10" s="10" t="s">
        <v>621</v>
      </c>
      <c r="C10">
        <v>1</v>
      </c>
      <c r="D10">
        <v>1</v>
      </c>
      <c r="E10">
        <v>1</v>
      </c>
      <c r="F10">
        <v>1</v>
      </c>
      <c r="G10">
        <v>1</v>
      </c>
      <c r="K10">
        <v>1</v>
      </c>
      <c r="L10">
        <v>1</v>
      </c>
      <c r="M10">
        <v>1</v>
      </c>
      <c r="N10">
        <v>1</v>
      </c>
      <c r="O10">
        <v>1</v>
      </c>
      <c r="P10">
        <v>1</v>
      </c>
      <c r="R10">
        <v>1</v>
      </c>
      <c r="S10">
        <v>1</v>
      </c>
      <c r="U10" s="50">
        <v>1</v>
      </c>
    </row>
    <row r="11" spans="1:21" ht="72" x14ac:dyDescent="0.3">
      <c r="A11" s="10" t="s">
        <v>622</v>
      </c>
      <c r="C11">
        <v>2</v>
      </c>
      <c r="E11">
        <v>2</v>
      </c>
      <c r="J11">
        <v>2</v>
      </c>
      <c r="K11">
        <v>2</v>
      </c>
      <c r="L11">
        <v>2</v>
      </c>
      <c r="M11">
        <v>2</v>
      </c>
      <c r="O11">
        <v>2</v>
      </c>
      <c r="P11">
        <v>2</v>
      </c>
      <c r="Q11">
        <v>2</v>
      </c>
      <c r="R11">
        <v>2</v>
      </c>
      <c r="S11">
        <v>2</v>
      </c>
      <c r="U11" s="50">
        <v>2</v>
      </c>
    </row>
    <row r="12" spans="1:21" ht="43.2" x14ac:dyDescent="0.3">
      <c r="A12" s="10" t="s">
        <v>623</v>
      </c>
      <c r="B12">
        <v>2</v>
      </c>
      <c r="E12">
        <v>2</v>
      </c>
      <c r="F12">
        <v>2</v>
      </c>
      <c r="G12">
        <v>2</v>
      </c>
      <c r="M12">
        <v>2</v>
      </c>
      <c r="O12">
        <v>2</v>
      </c>
      <c r="P12">
        <v>2</v>
      </c>
      <c r="S12">
        <v>2</v>
      </c>
      <c r="U12" s="50">
        <v>2</v>
      </c>
    </row>
    <row r="13" spans="1:21" ht="57.6" x14ac:dyDescent="0.3">
      <c r="A13" s="10" t="s">
        <v>624</v>
      </c>
      <c r="U13" s="50">
        <v>2</v>
      </c>
    </row>
    <row r="14" spans="1:21" ht="28.8" x14ac:dyDescent="0.3">
      <c r="A14" s="10" t="s">
        <v>625</v>
      </c>
      <c r="B14">
        <v>2</v>
      </c>
      <c r="C14">
        <v>2</v>
      </c>
      <c r="D14">
        <v>2</v>
      </c>
      <c r="E14">
        <v>2</v>
      </c>
      <c r="F14">
        <v>2</v>
      </c>
      <c r="J14">
        <v>2</v>
      </c>
      <c r="L14">
        <v>2</v>
      </c>
      <c r="M14">
        <v>2</v>
      </c>
      <c r="N14">
        <v>2</v>
      </c>
      <c r="O14">
        <v>2</v>
      </c>
      <c r="P14">
        <v>2</v>
      </c>
      <c r="Q14">
        <v>2</v>
      </c>
      <c r="R14">
        <v>2</v>
      </c>
      <c r="S14">
        <v>2</v>
      </c>
      <c r="U14" s="50">
        <v>2</v>
      </c>
    </row>
    <row r="15" spans="1:21" ht="72" x14ac:dyDescent="0.3">
      <c r="A15" s="10" t="s">
        <v>626</v>
      </c>
      <c r="M15">
        <v>2</v>
      </c>
      <c r="P15">
        <v>2</v>
      </c>
      <c r="U15" s="50">
        <v>2</v>
      </c>
    </row>
    <row r="16" spans="1:21" x14ac:dyDescent="0.3">
      <c r="A16" s="47" t="s">
        <v>609</v>
      </c>
      <c r="B16" s="45">
        <f t="shared" ref="B16:R16" si="1">SUM(B9:B15)</f>
        <v>4</v>
      </c>
      <c r="C16" s="45">
        <f t="shared" si="1"/>
        <v>7</v>
      </c>
      <c r="D16" s="45">
        <f t="shared" si="1"/>
        <v>5</v>
      </c>
      <c r="E16" s="45">
        <f t="shared" si="1"/>
        <v>9</v>
      </c>
      <c r="F16" s="45">
        <f t="shared" si="1"/>
        <v>7</v>
      </c>
      <c r="G16" s="45">
        <f t="shared" si="1"/>
        <v>5</v>
      </c>
      <c r="H16" s="45">
        <f t="shared" si="1"/>
        <v>0</v>
      </c>
      <c r="I16" s="45">
        <f t="shared" si="1"/>
        <v>0</v>
      </c>
      <c r="J16" s="45">
        <f t="shared" si="1"/>
        <v>6</v>
      </c>
      <c r="K16" s="45">
        <f t="shared" si="1"/>
        <v>3</v>
      </c>
      <c r="L16" s="45">
        <f t="shared" si="1"/>
        <v>5</v>
      </c>
      <c r="M16" s="45">
        <f t="shared" si="1"/>
        <v>11</v>
      </c>
      <c r="N16" s="45">
        <f t="shared" si="1"/>
        <v>3</v>
      </c>
      <c r="O16" s="45">
        <f t="shared" si="1"/>
        <v>9</v>
      </c>
      <c r="P16" s="45">
        <f t="shared" si="1"/>
        <v>11</v>
      </c>
      <c r="Q16" s="45">
        <f t="shared" si="1"/>
        <v>6</v>
      </c>
      <c r="R16" s="45">
        <f t="shared" si="1"/>
        <v>7</v>
      </c>
      <c r="S16" s="45">
        <f>SUM(S9:S15)</f>
        <v>9</v>
      </c>
      <c r="T16" s="45"/>
      <c r="U16" s="45">
        <f>SUM(U9:U15)</f>
        <v>13</v>
      </c>
    </row>
    <row r="17" spans="1:21" x14ac:dyDescent="0.3">
      <c r="A17" s="47"/>
      <c r="B17" s="45"/>
      <c r="C17" s="45"/>
      <c r="D17" s="45"/>
      <c r="E17" s="45"/>
      <c r="F17" s="45"/>
      <c r="G17" s="45"/>
      <c r="H17" s="45"/>
      <c r="I17" s="45"/>
      <c r="J17" s="45"/>
      <c r="K17" s="45"/>
      <c r="L17" s="45"/>
      <c r="M17" s="45"/>
      <c r="N17" s="45"/>
      <c r="O17" s="45"/>
      <c r="P17" s="45"/>
      <c r="Q17" s="45"/>
      <c r="R17" s="45"/>
      <c r="S17" s="45"/>
      <c r="T17" s="45"/>
      <c r="U17" s="45"/>
    </row>
    <row r="18" spans="1:21" x14ac:dyDescent="0.3">
      <c r="A18" s="10"/>
    </row>
    <row r="19" spans="1:21" x14ac:dyDescent="0.3">
      <c r="A19" s="45" t="s">
        <v>628</v>
      </c>
    </row>
    <row r="20" spans="1:21" ht="72" x14ac:dyDescent="0.3">
      <c r="A20" s="10" t="s">
        <v>629</v>
      </c>
      <c r="B20">
        <v>2</v>
      </c>
      <c r="E20">
        <v>2</v>
      </c>
      <c r="F20">
        <v>2</v>
      </c>
      <c r="G20">
        <v>2</v>
      </c>
      <c r="J20">
        <v>2</v>
      </c>
      <c r="M20">
        <v>2</v>
      </c>
      <c r="N20">
        <v>2</v>
      </c>
      <c r="O20">
        <v>2</v>
      </c>
      <c r="P20">
        <v>2</v>
      </c>
      <c r="R20">
        <v>2</v>
      </c>
      <c r="S20">
        <v>2</v>
      </c>
      <c r="U20" s="50">
        <v>2</v>
      </c>
    </row>
    <row r="21" spans="1:21" ht="86.4" x14ac:dyDescent="0.3">
      <c r="A21" s="10" t="s">
        <v>630</v>
      </c>
      <c r="B21">
        <v>2</v>
      </c>
      <c r="D21">
        <v>2</v>
      </c>
      <c r="E21">
        <v>2</v>
      </c>
      <c r="F21">
        <v>2</v>
      </c>
      <c r="G21">
        <v>2</v>
      </c>
      <c r="J21">
        <v>2</v>
      </c>
      <c r="K21">
        <v>2</v>
      </c>
      <c r="L21">
        <v>2</v>
      </c>
      <c r="M21">
        <v>2</v>
      </c>
      <c r="N21">
        <v>2</v>
      </c>
      <c r="O21">
        <v>2</v>
      </c>
      <c r="P21">
        <v>2</v>
      </c>
      <c r="R21">
        <v>2</v>
      </c>
      <c r="S21">
        <v>2</v>
      </c>
      <c r="U21" s="50">
        <v>2</v>
      </c>
    </row>
    <row r="22" spans="1:21" ht="28.8" x14ac:dyDescent="0.3">
      <c r="A22" s="10" t="s">
        <v>631</v>
      </c>
      <c r="M22">
        <v>2</v>
      </c>
      <c r="S22">
        <v>2</v>
      </c>
      <c r="U22" s="50">
        <v>2</v>
      </c>
    </row>
    <row r="23" spans="1:21" ht="57.6" x14ac:dyDescent="0.3">
      <c r="A23" s="10" t="s">
        <v>632</v>
      </c>
      <c r="B23">
        <v>2</v>
      </c>
      <c r="E23">
        <v>2</v>
      </c>
      <c r="F23">
        <v>2</v>
      </c>
      <c r="G23">
        <v>2</v>
      </c>
      <c r="M23">
        <v>2</v>
      </c>
      <c r="N23">
        <v>2</v>
      </c>
      <c r="O23">
        <v>2</v>
      </c>
      <c r="P23">
        <v>2</v>
      </c>
      <c r="R23">
        <v>2</v>
      </c>
      <c r="S23">
        <v>2</v>
      </c>
      <c r="U23" s="50">
        <v>2</v>
      </c>
    </row>
    <row r="24" spans="1:21" ht="57.6" x14ac:dyDescent="0.3">
      <c r="A24" s="10" t="s">
        <v>633</v>
      </c>
      <c r="U24" s="50">
        <v>2</v>
      </c>
    </row>
    <row r="25" spans="1:21" x14ac:dyDescent="0.3">
      <c r="A25" s="47" t="s">
        <v>609</v>
      </c>
      <c r="B25" s="45">
        <f t="shared" ref="B25:R25" si="2">SUM(B20:B24)</f>
        <v>6</v>
      </c>
      <c r="C25" s="45">
        <f t="shared" si="2"/>
        <v>0</v>
      </c>
      <c r="D25" s="45">
        <f t="shared" si="2"/>
        <v>2</v>
      </c>
      <c r="E25" s="45">
        <f t="shared" si="2"/>
        <v>6</v>
      </c>
      <c r="F25" s="45">
        <f t="shared" si="2"/>
        <v>6</v>
      </c>
      <c r="G25" s="45">
        <f t="shared" si="2"/>
        <v>6</v>
      </c>
      <c r="H25" s="45">
        <f t="shared" si="2"/>
        <v>0</v>
      </c>
      <c r="I25" s="45">
        <f t="shared" si="2"/>
        <v>0</v>
      </c>
      <c r="J25" s="45">
        <f t="shared" si="2"/>
        <v>4</v>
      </c>
      <c r="K25" s="45">
        <f t="shared" si="2"/>
        <v>2</v>
      </c>
      <c r="L25" s="45">
        <f t="shared" si="2"/>
        <v>2</v>
      </c>
      <c r="M25" s="45">
        <f t="shared" si="2"/>
        <v>8</v>
      </c>
      <c r="N25" s="45">
        <f t="shared" si="2"/>
        <v>6</v>
      </c>
      <c r="O25" s="45">
        <f t="shared" si="2"/>
        <v>6</v>
      </c>
      <c r="P25" s="45">
        <f t="shared" si="2"/>
        <v>6</v>
      </c>
      <c r="Q25" s="45">
        <f t="shared" si="2"/>
        <v>0</v>
      </c>
      <c r="R25" s="45">
        <f t="shared" si="2"/>
        <v>6</v>
      </c>
      <c r="S25" s="45">
        <f>SUM(S20:S24)</f>
        <v>8</v>
      </c>
      <c r="T25" s="45"/>
      <c r="U25" s="45">
        <f>SUM(U20:U24)</f>
        <v>10</v>
      </c>
    </row>
    <row r="26" spans="1:21" x14ac:dyDescent="0.3">
      <c r="A26" s="47"/>
      <c r="B26" s="45"/>
      <c r="C26" s="45"/>
      <c r="D26" s="45"/>
      <c r="E26" s="45"/>
      <c r="F26" s="45"/>
      <c r="G26" s="45"/>
      <c r="H26" s="45"/>
      <c r="I26" s="45"/>
      <c r="J26" s="45"/>
      <c r="K26" s="45"/>
      <c r="L26" s="45"/>
      <c r="M26" s="45"/>
      <c r="N26" s="45"/>
      <c r="O26" s="45"/>
      <c r="P26" s="45"/>
      <c r="Q26" s="45"/>
      <c r="R26" s="45"/>
      <c r="S26" s="45"/>
      <c r="T26" s="45"/>
      <c r="U26" s="45"/>
    </row>
    <row r="27" spans="1:21" x14ac:dyDescent="0.3">
      <c r="A27" s="10"/>
    </row>
    <row r="28" spans="1:21" ht="72" x14ac:dyDescent="0.3">
      <c r="A28" s="47" t="s">
        <v>635</v>
      </c>
    </row>
    <row r="29" spans="1:21" x14ac:dyDescent="0.3">
      <c r="A29" t="s">
        <v>636</v>
      </c>
      <c r="F29">
        <v>2</v>
      </c>
      <c r="M29">
        <v>2</v>
      </c>
      <c r="S29">
        <v>2</v>
      </c>
      <c r="U29">
        <v>2</v>
      </c>
    </row>
    <row r="30" spans="1:21" ht="57.6" x14ac:dyDescent="0.3">
      <c r="A30" s="10" t="s">
        <v>637</v>
      </c>
      <c r="E30">
        <v>1</v>
      </c>
      <c r="S30">
        <v>1</v>
      </c>
      <c r="U30">
        <v>1</v>
      </c>
    </row>
    <row r="31" spans="1:21" x14ac:dyDescent="0.3">
      <c r="A31" s="47" t="s">
        <v>609</v>
      </c>
      <c r="B31" s="45">
        <f t="shared" ref="B31:R31" si="3">SUM(B29:B30)</f>
        <v>0</v>
      </c>
      <c r="C31" s="45">
        <f t="shared" si="3"/>
        <v>0</v>
      </c>
      <c r="D31" s="45">
        <f t="shared" si="3"/>
        <v>0</v>
      </c>
      <c r="E31" s="45">
        <f t="shared" si="3"/>
        <v>1</v>
      </c>
      <c r="F31" s="45">
        <f t="shared" si="3"/>
        <v>2</v>
      </c>
      <c r="G31" s="45">
        <f t="shared" si="3"/>
        <v>0</v>
      </c>
      <c r="H31" s="45">
        <f t="shared" si="3"/>
        <v>0</v>
      </c>
      <c r="I31" s="45">
        <f t="shared" si="3"/>
        <v>0</v>
      </c>
      <c r="J31" s="45">
        <f t="shared" si="3"/>
        <v>0</v>
      </c>
      <c r="K31" s="45">
        <f t="shared" si="3"/>
        <v>0</v>
      </c>
      <c r="L31" s="45">
        <f t="shared" si="3"/>
        <v>0</v>
      </c>
      <c r="M31" s="45">
        <f t="shared" si="3"/>
        <v>2</v>
      </c>
      <c r="N31" s="45">
        <f t="shared" si="3"/>
        <v>0</v>
      </c>
      <c r="O31" s="45">
        <f t="shared" si="3"/>
        <v>0</v>
      </c>
      <c r="P31" s="45">
        <f t="shared" si="3"/>
        <v>0</v>
      </c>
      <c r="Q31" s="45">
        <f t="shared" si="3"/>
        <v>0</v>
      </c>
      <c r="R31" s="45">
        <f t="shared" si="3"/>
        <v>0</v>
      </c>
      <c r="S31" s="45">
        <f>SUM(S29:S30)</f>
        <v>3</v>
      </c>
      <c r="T31" s="45"/>
      <c r="U31" s="45">
        <f>SUM(U29:U30)</f>
        <v>3</v>
      </c>
    </row>
    <row r="32" spans="1:21" x14ac:dyDescent="0.3">
      <c r="A32" s="47"/>
      <c r="B32" s="45"/>
      <c r="C32" s="45"/>
      <c r="D32" s="45"/>
      <c r="E32" s="45"/>
      <c r="F32" s="45"/>
      <c r="G32" s="45"/>
      <c r="H32" s="45"/>
      <c r="I32" s="45"/>
      <c r="J32" s="45"/>
      <c r="K32" s="45"/>
      <c r="L32" s="45"/>
      <c r="M32" s="45"/>
      <c r="N32" s="45"/>
      <c r="O32" s="45"/>
      <c r="P32" s="45"/>
      <c r="Q32" s="45"/>
      <c r="R32" s="45"/>
      <c r="S32" s="45"/>
      <c r="T32" s="45"/>
      <c r="U32" s="45"/>
    </row>
    <row r="33" spans="1:21" x14ac:dyDescent="0.3">
      <c r="A33" s="10"/>
    </row>
    <row r="34" spans="1:21" ht="57.6" x14ac:dyDescent="0.3">
      <c r="A34" s="47" t="s">
        <v>642</v>
      </c>
    </row>
    <row r="35" spans="1:21" ht="57.6" x14ac:dyDescent="0.3">
      <c r="A35" s="10" t="s">
        <v>643</v>
      </c>
      <c r="E35">
        <v>2</v>
      </c>
      <c r="F35">
        <v>2</v>
      </c>
      <c r="G35">
        <v>2</v>
      </c>
      <c r="J35">
        <v>2</v>
      </c>
      <c r="M35">
        <v>2</v>
      </c>
      <c r="P35">
        <v>2</v>
      </c>
      <c r="S35">
        <v>2</v>
      </c>
      <c r="U35" s="50">
        <v>2</v>
      </c>
    </row>
    <row r="36" spans="1:21" ht="57.6" x14ac:dyDescent="0.3">
      <c r="A36" s="10" t="s">
        <v>644</v>
      </c>
      <c r="E36">
        <v>1</v>
      </c>
      <c r="F36">
        <v>1</v>
      </c>
      <c r="M36">
        <v>1</v>
      </c>
      <c r="N36">
        <v>1</v>
      </c>
      <c r="P36">
        <v>1</v>
      </c>
      <c r="U36" s="50">
        <v>1</v>
      </c>
    </row>
    <row r="37" spans="1:21" ht="28.8" x14ac:dyDescent="0.3">
      <c r="A37" s="10" t="s">
        <v>645</v>
      </c>
      <c r="E37">
        <v>1</v>
      </c>
      <c r="G37">
        <v>1</v>
      </c>
      <c r="M37">
        <v>1</v>
      </c>
      <c r="P37">
        <v>1</v>
      </c>
      <c r="S37">
        <v>1</v>
      </c>
      <c r="U37" s="50">
        <v>1</v>
      </c>
    </row>
    <row r="38" spans="1:21" ht="86.4" x14ac:dyDescent="0.3">
      <c r="A38" s="10" t="s">
        <v>646</v>
      </c>
      <c r="E38">
        <v>1</v>
      </c>
      <c r="G38">
        <v>1</v>
      </c>
      <c r="P38">
        <v>1</v>
      </c>
      <c r="S38">
        <v>1</v>
      </c>
      <c r="U38" s="50">
        <v>1</v>
      </c>
    </row>
    <row r="39" spans="1:21" ht="57.6" x14ac:dyDescent="0.3">
      <c r="A39" s="10" t="s">
        <v>647</v>
      </c>
      <c r="G39">
        <v>2</v>
      </c>
      <c r="U39" s="50">
        <v>2</v>
      </c>
    </row>
    <row r="40" spans="1:21" x14ac:dyDescent="0.3">
      <c r="A40" s="47" t="s">
        <v>609</v>
      </c>
      <c r="B40" s="45">
        <f t="shared" ref="B40:R40" si="4">SUM(B35:B39)</f>
        <v>0</v>
      </c>
      <c r="C40" s="45">
        <f t="shared" si="4"/>
        <v>0</v>
      </c>
      <c r="D40" s="45">
        <f t="shared" si="4"/>
        <v>0</v>
      </c>
      <c r="E40" s="45">
        <f t="shared" si="4"/>
        <v>5</v>
      </c>
      <c r="F40" s="45">
        <f t="shared" si="4"/>
        <v>3</v>
      </c>
      <c r="G40" s="45">
        <f t="shared" si="4"/>
        <v>6</v>
      </c>
      <c r="H40" s="45">
        <f t="shared" si="4"/>
        <v>0</v>
      </c>
      <c r="I40" s="45">
        <f t="shared" si="4"/>
        <v>0</v>
      </c>
      <c r="J40" s="45">
        <f t="shared" si="4"/>
        <v>2</v>
      </c>
      <c r="K40" s="45">
        <f t="shared" si="4"/>
        <v>0</v>
      </c>
      <c r="L40" s="45">
        <f t="shared" si="4"/>
        <v>0</v>
      </c>
      <c r="M40" s="45">
        <f t="shared" si="4"/>
        <v>4</v>
      </c>
      <c r="N40" s="45">
        <f t="shared" si="4"/>
        <v>1</v>
      </c>
      <c r="O40" s="45">
        <f t="shared" si="4"/>
        <v>0</v>
      </c>
      <c r="P40" s="45">
        <f t="shared" si="4"/>
        <v>5</v>
      </c>
      <c r="Q40" s="45">
        <f t="shared" si="4"/>
        <v>0</v>
      </c>
      <c r="R40" s="45">
        <f t="shared" si="4"/>
        <v>0</v>
      </c>
      <c r="S40" s="45">
        <f>SUM(S35:S39)</f>
        <v>4</v>
      </c>
      <c r="T40" s="45"/>
      <c r="U40" s="45">
        <f>SUM(U35:U39)</f>
        <v>7</v>
      </c>
    </row>
    <row r="41" spans="1:21" x14ac:dyDescent="0.3">
      <c r="A41" s="48"/>
      <c r="B41" s="48"/>
      <c r="C41" s="48"/>
      <c r="D41" s="48"/>
      <c r="E41" s="48"/>
      <c r="F41" s="48"/>
      <c r="G41" s="48"/>
      <c r="H41" s="48"/>
      <c r="I41" s="48"/>
      <c r="J41" s="48"/>
      <c r="K41" s="48"/>
      <c r="L41" s="48"/>
      <c r="M41" s="48"/>
      <c r="N41" s="48"/>
      <c r="O41" s="48"/>
      <c r="P41" s="48"/>
      <c r="Q41" s="48"/>
      <c r="R41" s="48"/>
      <c r="S41" s="48"/>
    </row>
    <row r="42" spans="1:21" x14ac:dyDescent="0.3">
      <c r="A42" s="10"/>
    </row>
    <row r="43" spans="1:21" ht="86.4" x14ac:dyDescent="0.3">
      <c r="A43" s="47" t="s">
        <v>649</v>
      </c>
    </row>
    <row r="44" spans="1:21" ht="43.2" x14ac:dyDescent="0.3">
      <c r="A44" s="10" t="s">
        <v>650</v>
      </c>
      <c r="E44">
        <v>1</v>
      </c>
      <c r="P44">
        <v>1</v>
      </c>
      <c r="S44">
        <v>1</v>
      </c>
      <c r="U44" s="50">
        <v>1</v>
      </c>
    </row>
    <row r="45" spans="1:21" ht="57.6" x14ac:dyDescent="0.3">
      <c r="A45" s="10" t="s">
        <v>651</v>
      </c>
      <c r="G45">
        <v>2</v>
      </c>
      <c r="M45">
        <v>2</v>
      </c>
      <c r="N45">
        <v>2</v>
      </c>
      <c r="P45">
        <v>2</v>
      </c>
      <c r="U45" s="50">
        <v>2</v>
      </c>
    </row>
    <row r="46" spans="1:21" ht="57.6" x14ac:dyDescent="0.3">
      <c r="A46" s="10" t="s">
        <v>652</v>
      </c>
      <c r="E46">
        <v>2</v>
      </c>
      <c r="F46">
        <v>2</v>
      </c>
      <c r="S46">
        <v>2</v>
      </c>
      <c r="U46" s="50">
        <v>2</v>
      </c>
    </row>
    <row r="47" spans="1:21" ht="72" x14ac:dyDescent="0.3">
      <c r="A47" s="10" t="s">
        <v>653</v>
      </c>
      <c r="E47">
        <v>2</v>
      </c>
      <c r="F47">
        <v>2</v>
      </c>
      <c r="U47" s="50">
        <v>2</v>
      </c>
    </row>
    <row r="48" spans="1:21" ht="72" x14ac:dyDescent="0.3">
      <c r="A48" s="10" t="s">
        <v>654</v>
      </c>
      <c r="U48" s="50">
        <v>1</v>
      </c>
    </row>
    <row r="49" spans="1:21" ht="43.2" x14ac:dyDescent="0.3">
      <c r="A49" s="10" t="s">
        <v>655</v>
      </c>
      <c r="E49">
        <v>1</v>
      </c>
      <c r="M49">
        <v>1</v>
      </c>
      <c r="P49">
        <v>1</v>
      </c>
      <c r="R49">
        <v>1</v>
      </c>
      <c r="S49">
        <v>1</v>
      </c>
      <c r="U49" s="50">
        <v>1</v>
      </c>
    </row>
    <row r="50" spans="1:21" x14ac:dyDescent="0.3">
      <c r="A50" s="47" t="s">
        <v>609</v>
      </c>
      <c r="B50" s="45">
        <f t="shared" ref="B50:R50" si="5">SUM(B44:B49)</f>
        <v>0</v>
      </c>
      <c r="C50" s="45">
        <f t="shared" si="5"/>
        <v>0</v>
      </c>
      <c r="D50" s="45">
        <f t="shared" si="5"/>
        <v>0</v>
      </c>
      <c r="E50" s="45">
        <f t="shared" si="5"/>
        <v>6</v>
      </c>
      <c r="F50" s="45">
        <f t="shared" si="5"/>
        <v>4</v>
      </c>
      <c r="G50" s="45">
        <f t="shared" si="5"/>
        <v>2</v>
      </c>
      <c r="H50" s="45">
        <f t="shared" si="5"/>
        <v>0</v>
      </c>
      <c r="I50" s="45">
        <f t="shared" si="5"/>
        <v>0</v>
      </c>
      <c r="J50" s="45">
        <f t="shared" si="5"/>
        <v>0</v>
      </c>
      <c r="K50" s="45">
        <f t="shared" si="5"/>
        <v>0</v>
      </c>
      <c r="L50" s="45">
        <f t="shared" si="5"/>
        <v>0</v>
      </c>
      <c r="M50" s="45">
        <f t="shared" si="5"/>
        <v>3</v>
      </c>
      <c r="N50" s="45">
        <f t="shared" si="5"/>
        <v>2</v>
      </c>
      <c r="O50" s="45">
        <f t="shared" si="5"/>
        <v>0</v>
      </c>
      <c r="P50" s="45">
        <f t="shared" si="5"/>
        <v>4</v>
      </c>
      <c r="Q50" s="45">
        <f t="shared" si="5"/>
        <v>0</v>
      </c>
      <c r="R50" s="45">
        <f t="shared" si="5"/>
        <v>1</v>
      </c>
      <c r="S50" s="45">
        <f>SUM(S44:S49)</f>
        <v>4</v>
      </c>
      <c r="T50" s="45"/>
      <c r="U50" s="45">
        <f>SUM(U44:U49)</f>
        <v>9</v>
      </c>
    </row>
    <row r="51" spans="1:21" x14ac:dyDescent="0.3">
      <c r="A51" s="48" t="s">
        <v>656</v>
      </c>
    </row>
    <row r="52" spans="1:21" x14ac:dyDescent="0.3">
      <c r="A52" s="10"/>
    </row>
    <row r="53" spans="1:21" ht="100.8" x14ac:dyDescent="0.3">
      <c r="A53" s="47" t="s">
        <v>657</v>
      </c>
      <c r="G53">
        <v>3</v>
      </c>
      <c r="M53">
        <v>3</v>
      </c>
      <c r="S53">
        <v>3</v>
      </c>
      <c r="U53">
        <v>3</v>
      </c>
    </row>
    <row r="54" spans="1:21" x14ac:dyDescent="0.3">
      <c r="A54" s="48" t="s">
        <v>641</v>
      </c>
    </row>
    <row r="55" spans="1:21" x14ac:dyDescent="0.3">
      <c r="A55" s="47"/>
    </row>
    <row r="56" spans="1:21" ht="57.6" x14ac:dyDescent="0.3">
      <c r="A56" s="47" t="s">
        <v>658</v>
      </c>
      <c r="E56">
        <v>3</v>
      </c>
      <c r="G56">
        <v>3</v>
      </c>
      <c r="J56">
        <v>3</v>
      </c>
      <c r="M56">
        <v>3</v>
      </c>
      <c r="P56">
        <v>3</v>
      </c>
      <c r="S56">
        <v>3</v>
      </c>
      <c r="U56">
        <v>3</v>
      </c>
    </row>
    <row r="57" spans="1:21" ht="28.8" x14ac:dyDescent="0.3">
      <c r="A57" s="10" t="s">
        <v>659</v>
      </c>
      <c r="U57" s="50">
        <v>2</v>
      </c>
    </row>
    <row r="58" spans="1:21" ht="57.6" x14ac:dyDescent="0.3">
      <c r="A58" s="10" t="s">
        <v>660</v>
      </c>
      <c r="U58" s="50">
        <v>1</v>
      </c>
    </row>
    <row r="59" spans="1:21" ht="72" x14ac:dyDescent="0.3">
      <c r="A59" s="10" t="s">
        <v>661</v>
      </c>
      <c r="U59" s="50">
        <v>1</v>
      </c>
    </row>
    <row r="60" spans="1:21" ht="57.6" x14ac:dyDescent="0.3">
      <c r="A60" s="10" t="s">
        <v>662</v>
      </c>
      <c r="U60" s="50">
        <v>1</v>
      </c>
    </row>
    <row r="61" spans="1:21" ht="72" x14ac:dyDescent="0.3">
      <c r="A61" s="10" t="s">
        <v>663</v>
      </c>
      <c r="U61" s="50">
        <v>2</v>
      </c>
    </row>
    <row r="62" spans="1:21" x14ac:dyDescent="0.3">
      <c r="A62" s="48" t="s">
        <v>641</v>
      </c>
    </row>
    <row r="65" spans="1:19" x14ac:dyDescent="0.3">
      <c r="A65" s="45" t="s">
        <v>664</v>
      </c>
      <c r="B65">
        <f t="shared" ref="B65:R65" si="6">B5+B16+B25+B31+B40+B50+B56</f>
        <v>12</v>
      </c>
      <c r="C65">
        <f t="shared" si="6"/>
        <v>9</v>
      </c>
      <c r="D65">
        <f t="shared" si="6"/>
        <v>9</v>
      </c>
      <c r="E65">
        <f t="shared" si="6"/>
        <v>33</v>
      </c>
      <c r="F65">
        <f t="shared" si="6"/>
        <v>25</v>
      </c>
      <c r="G65">
        <f t="shared" si="6"/>
        <v>25</v>
      </c>
      <c r="H65">
        <f t="shared" si="6"/>
        <v>0</v>
      </c>
      <c r="I65">
        <f t="shared" si="6"/>
        <v>0</v>
      </c>
      <c r="J65">
        <f t="shared" si="6"/>
        <v>18</v>
      </c>
      <c r="K65">
        <f t="shared" si="6"/>
        <v>7</v>
      </c>
      <c r="L65">
        <f t="shared" si="6"/>
        <v>10</v>
      </c>
      <c r="M65">
        <f t="shared" si="6"/>
        <v>34</v>
      </c>
      <c r="N65">
        <f t="shared" si="6"/>
        <v>15</v>
      </c>
      <c r="O65">
        <f t="shared" si="6"/>
        <v>17</v>
      </c>
      <c r="P65">
        <f t="shared" si="6"/>
        <v>32</v>
      </c>
      <c r="Q65">
        <f t="shared" si="6"/>
        <v>8</v>
      </c>
      <c r="R65">
        <f t="shared" si="6"/>
        <v>17</v>
      </c>
      <c r="S65">
        <f>S5+S16+S25+S31+S40+S50+S56</f>
        <v>34</v>
      </c>
    </row>
  </sheetData>
  <pageMargins left="0.70000000000000007" right="0.70000000000000007" top="0.75" bottom="0.75" header="0.30000000000000004" footer="0.3000000000000000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95C63-D959-48F0-9B03-3F4AEA475DE5}">
  <dimension ref="A1:AP19"/>
  <sheetViews>
    <sheetView topLeftCell="A2" zoomScale="55" zoomScaleNormal="55" workbookViewId="0">
      <selection activeCell="N24" sqref="N24"/>
    </sheetView>
  </sheetViews>
  <sheetFormatPr defaultColWidth="11.109375" defaultRowHeight="14.4" x14ac:dyDescent="0.3"/>
  <cols>
    <col min="1" max="1" width="27.88671875" customWidth="1"/>
    <col min="2" max="10" width="11.109375" customWidth="1"/>
    <col min="11" max="11" width="12.44140625" bestFit="1" customWidth="1"/>
    <col min="12" max="15" width="11.109375" customWidth="1"/>
    <col min="16" max="16" width="15" bestFit="1" customWidth="1"/>
    <col min="17" max="17" width="11.109375" customWidth="1"/>
  </cols>
  <sheetData>
    <row r="1" spans="1:42" ht="37.799999999999997" x14ac:dyDescent="0.3">
      <c r="A1" s="23" t="s">
        <v>6</v>
      </c>
      <c r="B1" s="8" t="s">
        <v>51</v>
      </c>
      <c r="C1" s="8" t="s">
        <v>75</v>
      </c>
      <c r="D1" s="8" t="s">
        <v>87</v>
      </c>
      <c r="E1" s="8" t="s">
        <v>98</v>
      </c>
      <c r="F1" s="8" t="s">
        <v>109</v>
      </c>
      <c r="G1" s="8" t="s">
        <v>147</v>
      </c>
      <c r="H1" s="8" t="s">
        <v>159</v>
      </c>
      <c r="I1" s="8" t="s">
        <v>177</v>
      </c>
      <c r="J1" s="8" t="s">
        <v>190</v>
      </c>
      <c r="K1" s="8" t="s">
        <v>200</v>
      </c>
      <c r="L1" s="8" t="s">
        <v>208</v>
      </c>
      <c r="M1" s="8" t="s">
        <v>218</v>
      </c>
      <c r="N1" s="8" t="s">
        <v>249</v>
      </c>
      <c r="O1" s="8" t="s">
        <v>293</v>
      </c>
      <c r="P1" s="8" t="s">
        <v>304</v>
      </c>
      <c r="Q1" s="8" t="s">
        <v>315</v>
      </c>
      <c r="T1" t="s">
        <v>6</v>
      </c>
      <c r="U1" t="s">
        <v>666</v>
      </c>
      <c r="V1" t="s">
        <v>667</v>
      </c>
      <c r="W1" t="s">
        <v>668</v>
      </c>
      <c r="X1" t="s">
        <v>669</v>
      </c>
      <c r="Y1" t="s">
        <v>670</v>
      </c>
      <c r="Z1" t="s">
        <v>671</v>
      </c>
      <c r="AA1" t="s">
        <v>664</v>
      </c>
      <c r="AB1" t="s">
        <v>672</v>
      </c>
      <c r="AC1" t="s">
        <v>673</v>
      </c>
      <c r="AD1" t="s">
        <v>674</v>
      </c>
      <c r="AE1" t="s">
        <v>675</v>
      </c>
    </row>
    <row r="2" spans="1:42" ht="43.2" x14ac:dyDescent="0.3">
      <c r="A2" s="47" t="s">
        <v>666</v>
      </c>
      <c r="B2">
        <f>'HPP components with weights'!B5</f>
        <v>2</v>
      </c>
      <c r="C2">
        <f>'HPP components with weights'!C5</f>
        <v>2</v>
      </c>
      <c r="D2">
        <f>'HPP components with weights'!D5</f>
        <v>2</v>
      </c>
      <c r="E2">
        <f>'HPP components with weights'!E5</f>
        <v>3</v>
      </c>
      <c r="F2">
        <f>'HPP components with weights'!F5</f>
        <v>3</v>
      </c>
      <c r="G2">
        <f>'HPP components with weights'!G5</f>
        <v>3</v>
      </c>
      <c r="H2">
        <f>'HPP components with weights'!J5</f>
        <v>3</v>
      </c>
      <c r="I2">
        <f>'HPP components with weights'!K5</f>
        <v>2</v>
      </c>
      <c r="J2">
        <f>'HPP components with weights'!L5</f>
        <v>3</v>
      </c>
      <c r="K2">
        <f>'HPP components with weights'!M5</f>
        <v>3</v>
      </c>
      <c r="L2">
        <f>'HPP components with weights'!N5</f>
        <v>3</v>
      </c>
      <c r="M2">
        <f>'HPP components with weights'!O5</f>
        <v>2</v>
      </c>
      <c r="N2">
        <f>'HPP components with weights'!P5</f>
        <v>3</v>
      </c>
      <c r="O2">
        <f>'HPP components with weights'!Q5</f>
        <v>2</v>
      </c>
      <c r="P2">
        <f>'HPP components with weights'!R5</f>
        <v>3</v>
      </c>
      <c r="Q2">
        <f>'HPP components with weights'!S5</f>
        <v>3</v>
      </c>
      <c r="T2" t="s">
        <v>293</v>
      </c>
      <c r="U2">
        <v>2</v>
      </c>
      <c r="V2">
        <v>6</v>
      </c>
      <c r="W2">
        <v>0</v>
      </c>
      <c r="X2">
        <v>0</v>
      </c>
      <c r="Y2">
        <v>0</v>
      </c>
      <c r="Z2">
        <v>0</v>
      </c>
      <c r="AA2">
        <v>8</v>
      </c>
      <c r="AB2" s="56">
        <f t="shared" ref="AB2:AB15" si="0">AA2/31</f>
        <v>0.25806451612903225</v>
      </c>
      <c r="AC2" s="56">
        <f t="shared" ref="AC2:AC15" si="1">AA2/48</f>
        <v>0.16666666666666666</v>
      </c>
      <c r="AD2">
        <v>1</v>
      </c>
      <c r="AE2">
        <v>1</v>
      </c>
      <c r="AO2" s="56"/>
      <c r="AP2" s="56"/>
    </row>
    <row r="3" spans="1:42" ht="28.8" x14ac:dyDescent="0.3">
      <c r="A3" s="47" t="s">
        <v>667</v>
      </c>
      <c r="B3" s="46">
        <f>'HPP components with weights'!B16</f>
        <v>4</v>
      </c>
      <c r="C3" s="51">
        <f>'HPP components with weights'!C16</f>
        <v>7</v>
      </c>
      <c r="D3" s="46">
        <f>'HPP components with weights'!D16</f>
        <v>5</v>
      </c>
      <c r="E3" s="51">
        <f>'HPP components with weights'!E16</f>
        <v>9</v>
      </c>
      <c r="F3" s="51">
        <f>'HPP components with weights'!F16</f>
        <v>7</v>
      </c>
      <c r="G3" s="46">
        <f>'HPP components with weights'!G16</f>
        <v>5</v>
      </c>
      <c r="H3" s="46">
        <f>'HPP components with weights'!J16</f>
        <v>6</v>
      </c>
      <c r="I3" s="46">
        <f>'HPP components with weights'!K16</f>
        <v>3</v>
      </c>
      <c r="J3" s="46">
        <f>'HPP components with weights'!L16</f>
        <v>5</v>
      </c>
      <c r="K3" s="51">
        <f>'HPP components with weights'!M16</f>
        <v>11</v>
      </c>
      <c r="L3" s="46">
        <f>'HPP components with weights'!N16</f>
        <v>3</v>
      </c>
      <c r="M3" s="51">
        <f>'HPP components with weights'!O16</f>
        <v>9</v>
      </c>
      <c r="N3" s="51">
        <f>'HPP components with weights'!P16</f>
        <v>11</v>
      </c>
      <c r="O3" s="46">
        <f>'HPP components with weights'!Q16</f>
        <v>6</v>
      </c>
      <c r="P3" s="51">
        <f>'HPP components with weights'!R16</f>
        <v>7</v>
      </c>
      <c r="Q3" s="51">
        <f>'HPP components with weights'!S16</f>
        <v>9</v>
      </c>
      <c r="T3" t="s">
        <v>87</v>
      </c>
      <c r="U3">
        <v>2</v>
      </c>
      <c r="V3">
        <v>5</v>
      </c>
      <c r="W3">
        <v>2</v>
      </c>
      <c r="X3">
        <v>0</v>
      </c>
      <c r="Y3">
        <v>0</v>
      </c>
      <c r="Z3">
        <v>0</v>
      </c>
      <c r="AA3">
        <v>9</v>
      </c>
      <c r="AB3" s="56">
        <f t="shared" si="0"/>
        <v>0.29032258064516131</v>
      </c>
      <c r="AC3" s="56">
        <f t="shared" si="1"/>
        <v>0.1875</v>
      </c>
      <c r="AD3">
        <v>1</v>
      </c>
      <c r="AE3">
        <v>1</v>
      </c>
      <c r="AO3" s="56"/>
      <c r="AP3" s="56"/>
    </row>
    <row r="4" spans="1:42" x14ac:dyDescent="0.3">
      <c r="A4" s="45" t="s">
        <v>668</v>
      </c>
      <c r="B4" s="53">
        <f>'HPP components with weights'!B25</f>
        <v>6</v>
      </c>
      <c r="C4">
        <f>'HPP components with weights'!C25</f>
        <v>0</v>
      </c>
      <c r="D4" s="52">
        <f>'HPP components with weights'!D25</f>
        <v>2</v>
      </c>
      <c r="E4" s="53">
        <f>'HPP components with weights'!E25</f>
        <v>6</v>
      </c>
      <c r="F4" s="53">
        <f>'HPP components with weights'!F25</f>
        <v>6</v>
      </c>
      <c r="G4" s="53">
        <f>'HPP components with weights'!G25</f>
        <v>6</v>
      </c>
      <c r="H4" s="52">
        <f>'HPP components with weights'!J25</f>
        <v>4</v>
      </c>
      <c r="I4" s="52">
        <f>'HPP components with weights'!K25</f>
        <v>2</v>
      </c>
      <c r="J4" s="52">
        <f>'HPP components with weights'!L25</f>
        <v>2</v>
      </c>
      <c r="K4" s="53">
        <f>'HPP components with weights'!M25</f>
        <v>8</v>
      </c>
      <c r="L4" s="53">
        <f>'HPP components with weights'!N25</f>
        <v>6</v>
      </c>
      <c r="M4" s="53">
        <f>'HPP components with weights'!O25</f>
        <v>6</v>
      </c>
      <c r="N4" s="53">
        <f>'HPP components with weights'!P25</f>
        <v>6</v>
      </c>
      <c r="O4">
        <f>'HPP components with weights'!Q25</f>
        <v>0</v>
      </c>
      <c r="P4" s="53">
        <f>'HPP components with weights'!R25</f>
        <v>6</v>
      </c>
      <c r="Q4" s="53">
        <f>'HPP components with weights'!S25</f>
        <v>8</v>
      </c>
      <c r="T4" t="s">
        <v>190</v>
      </c>
      <c r="U4">
        <v>3</v>
      </c>
      <c r="V4">
        <v>5</v>
      </c>
      <c r="W4">
        <v>2</v>
      </c>
      <c r="X4">
        <v>0</v>
      </c>
      <c r="Y4">
        <v>0</v>
      </c>
      <c r="Z4">
        <v>0</v>
      </c>
      <c r="AA4">
        <v>10</v>
      </c>
      <c r="AB4" s="56">
        <f t="shared" si="0"/>
        <v>0.32258064516129031</v>
      </c>
      <c r="AC4" s="56">
        <f t="shared" si="1"/>
        <v>0.20833333333333334</v>
      </c>
      <c r="AD4">
        <v>1</v>
      </c>
      <c r="AE4">
        <v>1</v>
      </c>
      <c r="AO4" s="56"/>
      <c r="AP4" s="56"/>
    </row>
    <row r="5" spans="1:42" ht="28.8" x14ac:dyDescent="0.3">
      <c r="A5" s="47" t="s">
        <v>669</v>
      </c>
      <c r="B5">
        <f>'HPP components with weights'!B31</f>
        <v>0</v>
      </c>
      <c r="C5">
        <f>'HPP components with weights'!C31</f>
        <v>0</v>
      </c>
      <c r="D5">
        <f>'HPP components with weights'!D31</f>
        <v>0</v>
      </c>
      <c r="E5" s="46">
        <f>'HPP components with weights'!E31</f>
        <v>1</v>
      </c>
      <c r="F5" s="46">
        <f>'HPP components with weights'!F31</f>
        <v>2</v>
      </c>
      <c r="G5">
        <f>'HPP components with weights'!G31</f>
        <v>0</v>
      </c>
      <c r="H5">
        <f>'HPP components with weights'!J31</f>
        <v>0</v>
      </c>
      <c r="I5">
        <f>'HPP components with weights'!K31</f>
        <v>0</v>
      </c>
      <c r="J5">
        <f>'HPP components with weights'!L31</f>
        <v>0</v>
      </c>
      <c r="K5" s="46">
        <f>'HPP components with weights'!M31</f>
        <v>2</v>
      </c>
      <c r="L5">
        <f>'HPP components with weights'!N31</f>
        <v>0</v>
      </c>
      <c r="M5">
        <f>'HPP components with weights'!O31</f>
        <v>0</v>
      </c>
      <c r="N5">
        <f>'HPP components with weights'!P31</f>
        <v>0</v>
      </c>
      <c r="O5">
        <f>'HPP components with weights'!Q31</f>
        <v>0</v>
      </c>
      <c r="P5">
        <f>'HPP components with weights'!R31</f>
        <v>0</v>
      </c>
      <c r="Q5" s="51">
        <f>'HPP components with weights'!S31</f>
        <v>3</v>
      </c>
      <c r="T5" t="s">
        <v>676</v>
      </c>
      <c r="U5">
        <v>2</v>
      </c>
      <c r="V5">
        <v>4</v>
      </c>
      <c r="W5">
        <v>6</v>
      </c>
      <c r="X5">
        <v>0</v>
      </c>
      <c r="Y5">
        <v>0</v>
      </c>
      <c r="Z5">
        <v>0</v>
      </c>
      <c r="AA5">
        <v>12</v>
      </c>
      <c r="AB5" s="56">
        <f t="shared" si="0"/>
        <v>0.38709677419354838</v>
      </c>
      <c r="AC5" s="56">
        <f t="shared" si="1"/>
        <v>0.25</v>
      </c>
      <c r="AD5">
        <v>2</v>
      </c>
      <c r="AE5">
        <v>1</v>
      </c>
      <c r="AO5" s="56"/>
      <c r="AP5" s="56"/>
    </row>
    <row r="6" spans="1:42" ht="28.8" x14ac:dyDescent="0.3">
      <c r="A6" s="47" t="s">
        <v>670</v>
      </c>
      <c r="B6">
        <f>'HPP components with weights'!B40</f>
        <v>0</v>
      </c>
      <c r="C6">
        <f>'HPP components with weights'!C40</f>
        <v>0</v>
      </c>
      <c r="D6">
        <f>'HPP components with weights'!D40</f>
        <v>0</v>
      </c>
      <c r="E6" s="53">
        <f>'HPP components with weights'!E40</f>
        <v>5</v>
      </c>
      <c r="F6" s="52">
        <f>'HPP components with weights'!F40</f>
        <v>3</v>
      </c>
      <c r="G6" s="53">
        <f>'HPP components with weights'!G40</f>
        <v>6</v>
      </c>
      <c r="H6" s="52">
        <f>'HPP components with weights'!J40</f>
        <v>2</v>
      </c>
      <c r="I6">
        <f>'HPP components with weights'!K40</f>
        <v>0</v>
      </c>
      <c r="J6">
        <f>'HPP components with weights'!L40</f>
        <v>0</v>
      </c>
      <c r="K6" s="53">
        <f>'HPP components with weights'!M40</f>
        <v>4</v>
      </c>
      <c r="L6" s="52">
        <f>'HPP components with weights'!N40</f>
        <v>1</v>
      </c>
      <c r="M6">
        <f>'HPP components with weights'!O40</f>
        <v>0</v>
      </c>
      <c r="N6" s="53">
        <f>'HPP components with weights'!P40</f>
        <v>5</v>
      </c>
      <c r="O6">
        <f>'HPP components with weights'!Q40</f>
        <v>0</v>
      </c>
      <c r="P6">
        <f>'HPP components with weights'!R40</f>
        <v>0</v>
      </c>
      <c r="Q6" s="53">
        <f>'HPP components with weights'!S40</f>
        <v>4</v>
      </c>
      <c r="T6" t="s">
        <v>159</v>
      </c>
      <c r="U6">
        <v>3</v>
      </c>
      <c r="V6">
        <v>6</v>
      </c>
      <c r="W6">
        <v>4</v>
      </c>
      <c r="X6">
        <v>0</v>
      </c>
      <c r="Y6">
        <v>2</v>
      </c>
      <c r="Z6">
        <v>0</v>
      </c>
      <c r="AA6">
        <v>15</v>
      </c>
      <c r="AB6" s="56">
        <f t="shared" si="0"/>
        <v>0.4838709677419355</v>
      </c>
      <c r="AC6" s="56">
        <f t="shared" si="1"/>
        <v>0.3125</v>
      </c>
      <c r="AD6">
        <v>2</v>
      </c>
      <c r="AE6">
        <v>2</v>
      </c>
      <c r="AO6" s="56"/>
      <c r="AP6" s="56"/>
    </row>
    <row r="7" spans="1:42" ht="28.8" x14ac:dyDescent="0.3">
      <c r="A7" s="47" t="s">
        <v>671</v>
      </c>
      <c r="B7">
        <f>'HPP components with weights'!B50</f>
        <v>0</v>
      </c>
      <c r="C7">
        <f>'HPP components with weights'!C50</f>
        <v>0</v>
      </c>
      <c r="D7">
        <f>'HPP components with weights'!D50</f>
        <v>0</v>
      </c>
      <c r="E7" s="51">
        <f>'HPP components with weights'!E50</f>
        <v>6</v>
      </c>
      <c r="F7" s="46">
        <f>'HPP components with weights'!F50</f>
        <v>4</v>
      </c>
      <c r="G7" s="46">
        <f>'HPP components with weights'!G50</f>
        <v>2</v>
      </c>
      <c r="H7">
        <f>'HPP components with weights'!J50</f>
        <v>0</v>
      </c>
      <c r="I7">
        <f>'HPP components with weights'!K50</f>
        <v>0</v>
      </c>
      <c r="J7">
        <f>'HPP components with weights'!L50</f>
        <v>0</v>
      </c>
      <c r="K7" s="46">
        <f>'HPP components with weights'!M50</f>
        <v>3</v>
      </c>
      <c r="L7" s="46">
        <f>'HPP components with weights'!N50</f>
        <v>2</v>
      </c>
      <c r="M7">
        <f>'HPP components with weights'!O50</f>
        <v>0</v>
      </c>
      <c r="N7" s="46">
        <f>'HPP components with weights'!P50</f>
        <v>4</v>
      </c>
      <c r="O7">
        <f>'HPP components with weights'!Q50</f>
        <v>0</v>
      </c>
      <c r="P7" s="46">
        <f>'HPP components with weights'!R50</f>
        <v>1</v>
      </c>
      <c r="Q7" s="46">
        <f>'HPP components with weights'!S50</f>
        <v>4</v>
      </c>
      <c r="T7" t="s">
        <v>208</v>
      </c>
      <c r="U7">
        <v>3</v>
      </c>
      <c r="V7">
        <v>3</v>
      </c>
      <c r="W7">
        <v>6</v>
      </c>
      <c r="X7">
        <v>0</v>
      </c>
      <c r="Y7">
        <v>1</v>
      </c>
      <c r="Z7">
        <v>2</v>
      </c>
      <c r="AA7">
        <v>15</v>
      </c>
      <c r="AB7" s="56">
        <f t="shared" si="0"/>
        <v>0.4838709677419355</v>
      </c>
      <c r="AC7" s="56">
        <f t="shared" si="1"/>
        <v>0.3125</v>
      </c>
      <c r="AD7">
        <v>2</v>
      </c>
      <c r="AE7">
        <v>2</v>
      </c>
      <c r="AO7" s="56"/>
      <c r="AP7" s="56"/>
    </row>
    <row r="8" spans="1:42" x14ac:dyDescent="0.3">
      <c r="A8" s="47"/>
      <c r="E8" s="54"/>
      <c r="G8" s="54"/>
      <c r="H8" s="54"/>
      <c r="K8" s="54"/>
      <c r="N8" s="54"/>
      <c r="Q8" s="54"/>
      <c r="T8" t="s">
        <v>218</v>
      </c>
      <c r="U8">
        <v>2</v>
      </c>
      <c r="V8">
        <v>9</v>
      </c>
      <c r="W8">
        <v>6</v>
      </c>
      <c r="X8">
        <v>0</v>
      </c>
      <c r="Y8">
        <v>0</v>
      </c>
      <c r="Z8">
        <v>0</v>
      </c>
      <c r="AA8">
        <v>17</v>
      </c>
      <c r="AB8" s="56">
        <f t="shared" si="0"/>
        <v>0.54838709677419351</v>
      </c>
      <c r="AC8" s="56">
        <f t="shared" si="1"/>
        <v>0.35416666666666669</v>
      </c>
      <c r="AD8">
        <v>2</v>
      </c>
      <c r="AE8">
        <v>2</v>
      </c>
      <c r="AO8" s="56"/>
      <c r="AP8" s="56"/>
    </row>
    <row r="9" spans="1:42" x14ac:dyDescent="0.3">
      <c r="T9" t="s">
        <v>304</v>
      </c>
      <c r="U9">
        <v>3</v>
      </c>
      <c r="V9">
        <v>7</v>
      </c>
      <c r="W9">
        <v>6</v>
      </c>
      <c r="X9">
        <v>0</v>
      </c>
      <c r="Y9">
        <v>0</v>
      </c>
      <c r="Z9">
        <v>1</v>
      </c>
      <c r="AA9">
        <v>17</v>
      </c>
      <c r="AB9" s="56">
        <f t="shared" si="0"/>
        <v>0.54838709677419351</v>
      </c>
      <c r="AC9" s="56">
        <f t="shared" si="1"/>
        <v>0.35416666666666669</v>
      </c>
      <c r="AD9">
        <v>2</v>
      </c>
      <c r="AE9">
        <v>2</v>
      </c>
      <c r="AO9" s="56"/>
      <c r="AP9" s="56"/>
    </row>
    <row r="10" spans="1:42" x14ac:dyDescent="0.3">
      <c r="A10" s="47" t="s">
        <v>664</v>
      </c>
      <c r="B10" s="55">
        <f t="shared" ref="B10:Q10" si="2">SUM(B2:B7)</f>
        <v>12</v>
      </c>
      <c r="C10" s="55">
        <f t="shared" si="2"/>
        <v>9</v>
      </c>
      <c r="D10" s="55">
        <f t="shared" si="2"/>
        <v>9</v>
      </c>
      <c r="E10" s="55">
        <f t="shared" si="2"/>
        <v>30</v>
      </c>
      <c r="F10" s="55">
        <f t="shared" si="2"/>
        <v>25</v>
      </c>
      <c r="G10" s="55">
        <f t="shared" si="2"/>
        <v>22</v>
      </c>
      <c r="H10" s="55">
        <f t="shared" si="2"/>
        <v>15</v>
      </c>
      <c r="I10" s="55">
        <f t="shared" si="2"/>
        <v>7</v>
      </c>
      <c r="J10" s="55">
        <f t="shared" si="2"/>
        <v>10</v>
      </c>
      <c r="K10" s="55">
        <f t="shared" si="2"/>
        <v>31</v>
      </c>
      <c r="L10" s="55">
        <f t="shared" si="2"/>
        <v>15</v>
      </c>
      <c r="M10" s="55">
        <f t="shared" si="2"/>
        <v>17</v>
      </c>
      <c r="N10" s="55">
        <f t="shared" si="2"/>
        <v>29</v>
      </c>
      <c r="O10" s="55">
        <f t="shared" si="2"/>
        <v>8</v>
      </c>
      <c r="P10" s="55">
        <f t="shared" si="2"/>
        <v>17</v>
      </c>
      <c r="Q10" s="55">
        <f t="shared" si="2"/>
        <v>31</v>
      </c>
      <c r="T10" t="s">
        <v>147</v>
      </c>
      <c r="U10">
        <v>3</v>
      </c>
      <c r="V10">
        <v>5</v>
      </c>
      <c r="W10">
        <v>6</v>
      </c>
      <c r="X10">
        <v>0</v>
      </c>
      <c r="Y10">
        <v>6</v>
      </c>
      <c r="Z10">
        <v>2</v>
      </c>
      <c r="AA10">
        <v>22</v>
      </c>
      <c r="AB10" s="56">
        <f t="shared" si="0"/>
        <v>0.70967741935483875</v>
      </c>
      <c r="AC10" s="56">
        <f t="shared" si="1"/>
        <v>0.45833333333333331</v>
      </c>
      <c r="AD10">
        <v>3</v>
      </c>
      <c r="AE10">
        <v>2</v>
      </c>
      <c r="AO10" s="56"/>
      <c r="AP10" s="56"/>
    </row>
    <row r="11" spans="1:42" x14ac:dyDescent="0.3">
      <c r="T11" t="s">
        <v>109</v>
      </c>
      <c r="U11">
        <v>3</v>
      </c>
      <c r="V11">
        <v>7</v>
      </c>
      <c r="W11">
        <v>6</v>
      </c>
      <c r="X11">
        <v>2</v>
      </c>
      <c r="Y11">
        <v>3</v>
      </c>
      <c r="Z11">
        <v>4</v>
      </c>
      <c r="AA11">
        <v>25</v>
      </c>
      <c r="AB11" s="56">
        <f t="shared" si="0"/>
        <v>0.80645161290322576</v>
      </c>
      <c r="AC11" s="56">
        <f t="shared" si="1"/>
        <v>0.52083333333333337</v>
      </c>
      <c r="AD11">
        <v>3</v>
      </c>
      <c r="AE11">
        <v>2</v>
      </c>
      <c r="AO11" s="56"/>
      <c r="AP11" s="56"/>
    </row>
    <row r="12" spans="1:42" x14ac:dyDescent="0.3">
      <c r="B12">
        <f>IF(B10&gt;20,3,IF(B10&gt;10,2,1))</f>
        <v>2</v>
      </c>
      <c r="C12">
        <f t="shared" ref="C12:Q12" si="3">IF(C10&gt;20,3,IF(C10&gt;10,2,1))</f>
        <v>1</v>
      </c>
      <c r="D12">
        <f t="shared" si="3"/>
        <v>1</v>
      </c>
      <c r="E12">
        <f t="shared" si="3"/>
        <v>3</v>
      </c>
      <c r="F12">
        <f t="shared" si="3"/>
        <v>3</v>
      </c>
      <c r="G12">
        <f t="shared" si="3"/>
        <v>3</v>
      </c>
      <c r="H12">
        <f t="shared" si="3"/>
        <v>2</v>
      </c>
      <c r="I12">
        <f t="shared" si="3"/>
        <v>1</v>
      </c>
      <c r="J12">
        <f t="shared" si="3"/>
        <v>1</v>
      </c>
      <c r="K12">
        <f t="shared" si="3"/>
        <v>3</v>
      </c>
      <c r="L12">
        <f t="shared" si="3"/>
        <v>2</v>
      </c>
      <c r="M12">
        <f t="shared" si="3"/>
        <v>2</v>
      </c>
      <c r="N12">
        <f t="shared" si="3"/>
        <v>3</v>
      </c>
      <c r="O12">
        <f t="shared" si="3"/>
        <v>1</v>
      </c>
      <c r="P12">
        <f t="shared" si="3"/>
        <v>2</v>
      </c>
      <c r="Q12">
        <f t="shared" si="3"/>
        <v>3</v>
      </c>
      <c r="T12" t="s">
        <v>249</v>
      </c>
      <c r="U12">
        <v>3</v>
      </c>
      <c r="V12">
        <v>11</v>
      </c>
      <c r="W12">
        <v>6</v>
      </c>
      <c r="X12">
        <v>0</v>
      </c>
      <c r="Y12">
        <v>5</v>
      </c>
      <c r="Z12">
        <v>4</v>
      </c>
      <c r="AA12">
        <v>29</v>
      </c>
      <c r="AB12" s="56">
        <f t="shared" si="0"/>
        <v>0.93548387096774188</v>
      </c>
      <c r="AC12" s="56">
        <f t="shared" si="1"/>
        <v>0.60416666666666663</v>
      </c>
      <c r="AD12">
        <v>3</v>
      </c>
      <c r="AE12">
        <v>3</v>
      </c>
      <c r="AO12" s="56"/>
      <c r="AP12" s="56"/>
    </row>
    <row r="13" spans="1:42" x14ac:dyDescent="0.3">
      <c r="T13" t="s">
        <v>98</v>
      </c>
      <c r="U13">
        <v>3</v>
      </c>
      <c r="V13">
        <v>9</v>
      </c>
      <c r="W13">
        <v>6</v>
      </c>
      <c r="X13">
        <v>1</v>
      </c>
      <c r="Y13">
        <v>5</v>
      </c>
      <c r="Z13">
        <v>6</v>
      </c>
      <c r="AA13">
        <v>30</v>
      </c>
      <c r="AB13" s="56">
        <f t="shared" si="0"/>
        <v>0.967741935483871</v>
      </c>
      <c r="AC13" s="56">
        <f t="shared" si="1"/>
        <v>0.625</v>
      </c>
      <c r="AD13">
        <v>3</v>
      </c>
      <c r="AE13">
        <v>3</v>
      </c>
      <c r="AO13" s="56"/>
      <c r="AP13" s="56"/>
    </row>
    <row r="14" spans="1:42" x14ac:dyDescent="0.3">
      <c r="T14" t="s">
        <v>200</v>
      </c>
      <c r="U14">
        <v>3</v>
      </c>
      <c r="V14">
        <v>11</v>
      </c>
      <c r="W14">
        <v>8</v>
      </c>
      <c r="X14">
        <v>2</v>
      </c>
      <c r="Y14">
        <v>4</v>
      </c>
      <c r="Z14">
        <v>3</v>
      </c>
      <c r="AA14">
        <v>31</v>
      </c>
      <c r="AB14" s="56">
        <f t="shared" si="0"/>
        <v>1</v>
      </c>
      <c r="AC14" s="56">
        <f t="shared" si="1"/>
        <v>0.64583333333333337</v>
      </c>
      <c r="AD14">
        <v>3</v>
      </c>
      <c r="AE14">
        <v>3</v>
      </c>
      <c r="AO14" s="56"/>
      <c r="AP14" s="56"/>
    </row>
    <row r="15" spans="1:42" x14ac:dyDescent="0.3">
      <c r="T15" t="s">
        <v>315</v>
      </c>
      <c r="U15">
        <v>3</v>
      </c>
      <c r="V15">
        <v>9</v>
      </c>
      <c r="W15">
        <v>8</v>
      </c>
      <c r="X15">
        <v>3</v>
      </c>
      <c r="Y15">
        <v>4</v>
      </c>
      <c r="Z15">
        <v>4</v>
      </c>
      <c r="AA15">
        <v>31</v>
      </c>
      <c r="AB15" s="56">
        <f t="shared" si="0"/>
        <v>1</v>
      </c>
      <c r="AC15" s="56">
        <f t="shared" si="1"/>
        <v>0.64583333333333337</v>
      </c>
      <c r="AD15">
        <v>3</v>
      </c>
      <c r="AE15">
        <v>3</v>
      </c>
      <c r="AO15" s="56"/>
      <c r="AP15" s="56"/>
    </row>
    <row r="16" spans="1:42" x14ac:dyDescent="0.3">
      <c r="AO16" s="56"/>
      <c r="AP16" s="56"/>
    </row>
    <row r="17" spans="41:42" x14ac:dyDescent="0.3">
      <c r="AO17" s="56"/>
      <c r="AP17" s="56"/>
    </row>
    <row r="18" spans="41:42" x14ac:dyDescent="0.3">
      <c r="AO18" s="56"/>
      <c r="AP18" s="56"/>
    </row>
    <row r="19" spans="41:42" x14ac:dyDescent="0.3">
      <c r="AO19" s="56"/>
      <c r="AP19" s="56"/>
    </row>
  </sheetData>
  <autoFilter ref="T1:AA18" xr:uid="{44DA63BD-D39C-4394-8EC4-1DFBCCDDD836}">
    <sortState xmlns:xlrd2="http://schemas.microsoft.com/office/spreadsheetml/2017/richdata2" ref="T3:AA18">
      <sortCondition ref="AA2:AA18"/>
    </sortState>
  </autoFilter>
  <pageMargins left="0.70866141732283516" right="0.70866141732283516" top="0.74803149606299213" bottom="0.74803149606299213" header="0.31496062992126012" footer="0.31496062992126012"/>
  <pageSetup paperSize="0" fitToWidth="0" fitToHeight="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A6A4D-1C88-47AF-AD66-723480A26773}">
  <dimension ref="A1"/>
  <sheetViews>
    <sheetView workbookViewId="0">
      <selection activeCell="S18" sqref="S18"/>
    </sheetView>
  </sheetViews>
  <sheetFormatPr defaultRowHeight="14.4" x14ac:dyDescent="0.3"/>
  <cols>
    <col min="1" max="1" width="8.88671875" customWidth="1"/>
  </cols>
  <sheetData/>
  <pageMargins left="0.70000000000000007" right="0.70000000000000007" top="0.78740157500000008" bottom="0.78740157500000008" header="0.30000000000000004" footer="0.30000000000000004"/>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HEWSs</vt:lpstr>
      <vt:lpstr>HHAP</vt:lpstr>
      <vt:lpstr>HPP components</vt:lpstr>
      <vt:lpstr>Component weights</vt:lpstr>
      <vt:lpstr>HPP components with weights</vt:lpstr>
      <vt:lpstr>Final HPP classification</vt:lpstr>
      <vt:lpstr>HPP 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Salomé Henry</dc:creator>
  <cp:lastModifiedBy>Urban Aleš</cp:lastModifiedBy>
  <cp:lastPrinted>2024-11-24T11:44:57Z</cp:lastPrinted>
  <dcterms:created xsi:type="dcterms:W3CDTF">2022-06-08T09:11:09Z</dcterms:created>
  <dcterms:modified xsi:type="dcterms:W3CDTF">2025-06-05T14:51:56Z</dcterms:modified>
</cp:coreProperties>
</file>